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525" windowHeight="12405"/>
  </bookViews>
  <sheets>
    <sheet name="RFR" sheetId="1" r:id="rId1"/>
    <sheet name="Feuil2" sheetId="2" r:id="rId2"/>
    <sheet name="Interpolation" sheetId="3" r:id="rId3"/>
  </sheets>
  <calcPr calcId="145621"/>
</workbook>
</file>

<file path=xl/calcChain.xml><?xml version="1.0" encoding="utf-8"?>
<calcChain xmlns="http://schemas.openxmlformats.org/spreadsheetml/2006/main">
  <c r="O8" i="1" l="1"/>
  <c r="S10" i="1"/>
  <c r="S18" i="1"/>
  <c r="P93" i="1"/>
  <c r="O94" i="1"/>
  <c r="S97" i="1"/>
  <c r="P101" i="1"/>
  <c r="S104" i="1"/>
  <c r="S105" i="1"/>
  <c r="R106" i="1"/>
  <c r="Q108" i="1"/>
  <c r="P109" i="1"/>
  <c r="O110" i="1"/>
  <c r="N112" i="1"/>
  <c r="S113" i="1"/>
  <c r="O115" i="1"/>
  <c r="Q117" i="1"/>
  <c r="R118" i="1"/>
  <c r="N120" i="1"/>
  <c r="O121" i="1"/>
  <c r="S121" i="1"/>
  <c r="O122" i="1"/>
  <c r="R124" i="1"/>
  <c r="P125" i="1"/>
  <c r="S125" i="1"/>
  <c r="O127" i="1"/>
  <c r="P129" i="1"/>
  <c r="R130" i="1"/>
  <c r="S131" i="1"/>
  <c r="Q133" i="1"/>
  <c r="O134" i="1"/>
  <c r="Q136" i="1"/>
  <c r="O137" i="1"/>
  <c r="S137" i="1"/>
  <c r="S138" i="1"/>
  <c r="P141" i="1"/>
  <c r="S141" i="1"/>
  <c r="Q142" i="1"/>
  <c r="Q143" i="1"/>
  <c r="O145" i="1"/>
  <c r="R145" i="1"/>
  <c r="Q146" i="1"/>
  <c r="Q147" i="1"/>
  <c r="O149" i="1"/>
  <c r="R149" i="1"/>
  <c r="O150" i="1"/>
  <c r="N151" i="1"/>
  <c r="N2" i="1"/>
  <c r="I3" i="1"/>
  <c r="L3" i="1"/>
  <c r="K4" i="1"/>
  <c r="J6" i="1"/>
  <c r="I7" i="1"/>
  <c r="L7" i="1"/>
  <c r="I8" i="1"/>
  <c r="M9" i="1"/>
  <c r="I11" i="1"/>
  <c r="L11" i="1"/>
  <c r="K12" i="1"/>
  <c r="K13" i="1"/>
  <c r="I15" i="1"/>
  <c r="L15" i="1"/>
  <c r="I16" i="1"/>
  <c r="H17" i="1"/>
  <c r="M18" i="1"/>
  <c r="I19" i="1"/>
  <c r="L19" i="1"/>
  <c r="K20" i="1"/>
  <c r="K92" i="1"/>
  <c r="M92" i="1"/>
  <c r="H93" i="1"/>
  <c r="J94" i="1"/>
  <c r="I96" i="1"/>
  <c r="J96" i="1"/>
  <c r="K96" i="1"/>
  <c r="M97" i="1"/>
  <c r="I100" i="1"/>
  <c r="M100" i="1"/>
  <c r="K101" i="1"/>
  <c r="K102" i="1"/>
  <c r="J104" i="1"/>
  <c r="K104" i="1"/>
  <c r="H105" i="1"/>
  <c r="I106" i="1"/>
  <c r="I108" i="1"/>
  <c r="K108" i="1"/>
  <c r="L109" i="1"/>
  <c r="M110" i="1"/>
  <c r="I112" i="1"/>
  <c r="K112" i="1"/>
  <c r="I113" i="1"/>
  <c r="J114" i="1"/>
  <c r="I116" i="1"/>
  <c r="K116" i="1"/>
  <c r="M116" i="1"/>
  <c r="M117" i="1"/>
  <c r="I120" i="1"/>
  <c r="J120" i="1"/>
  <c r="J121" i="1"/>
  <c r="J122" i="1"/>
  <c r="H124" i="1"/>
  <c r="K124" i="1"/>
  <c r="L124" i="1"/>
  <c r="H125" i="1"/>
  <c r="M125" i="1"/>
  <c r="L126" i="1"/>
  <c r="H128" i="1"/>
  <c r="J128" i="1"/>
  <c r="K128" i="1"/>
  <c r="J129" i="1"/>
  <c r="J130" i="1"/>
  <c r="H132" i="1"/>
  <c r="K132" i="1"/>
  <c r="L132" i="1"/>
  <c r="H133" i="1"/>
  <c r="M133" i="1"/>
  <c r="L134" i="1"/>
  <c r="H136" i="1"/>
  <c r="J136" i="1"/>
  <c r="K136" i="1"/>
  <c r="J137" i="1"/>
  <c r="J138" i="1"/>
  <c r="H140" i="1"/>
  <c r="K140" i="1"/>
  <c r="L140" i="1"/>
  <c r="H141" i="1"/>
  <c r="M141" i="1"/>
  <c r="L142" i="1"/>
  <c r="H144" i="1"/>
  <c r="J144" i="1"/>
  <c r="K144" i="1"/>
  <c r="J145" i="1"/>
  <c r="J146" i="1"/>
  <c r="H148" i="1"/>
  <c r="K148" i="1"/>
  <c r="L148" i="1"/>
  <c r="H149" i="1"/>
  <c r="M149" i="1"/>
  <c r="L150" i="1"/>
  <c r="I2" i="1"/>
  <c r="K2" i="1"/>
  <c r="L2" i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92" i="3"/>
  <c r="J93" i="3"/>
  <c r="Q92" i="1" s="1"/>
  <c r="J94" i="3"/>
  <c r="J95" i="3"/>
  <c r="J96" i="3"/>
  <c r="J97" i="3"/>
  <c r="N96" i="1" s="1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S112" i="1" s="1"/>
  <c r="J114" i="3"/>
  <c r="J115" i="3"/>
  <c r="J116" i="3"/>
  <c r="J117" i="3"/>
  <c r="Q116" i="1" s="1"/>
  <c r="J118" i="3"/>
  <c r="J119" i="3"/>
  <c r="J120" i="3"/>
  <c r="J121" i="3"/>
  <c r="Q120" i="1" s="1"/>
  <c r="J122" i="3"/>
  <c r="J123" i="3"/>
  <c r="J124" i="3"/>
  <c r="J125" i="3"/>
  <c r="J126" i="3"/>
  <c r="J127" i="3"/>
  <c r="J128" i="3"/>
  <c r="J129" i="3"/>
  <c r="O128" i="1" s="1"/>
  <c r="J130" i="3"/>
  <c r="J131" i="3"/>
  <c r="J132" i="3"/>
  <c r="J133" i="3"/>
  <c r="Q132" i="1" s="1"/>
  <c r="J134" i="3"/>
  <c r="J135" i="3"/>
  <c r="J136" i="3"/>
  <c r="J137" i="3"/>
  <c r="J138" i="3"/>
  <c r="J139" i="3"/>
  <c r="J140" i="3"/>
  <c r="J141" i="3"/>
  <c r="N140" i="1" s="1"/>
  <c r="J142" i="3"/>
  <c r="J143" i="3"/>
  <c r="J144" i="3"/>
  <c r="J145" i="3"/>
  <c r="O144" i="1" s="1"/>
  <c r="J146" i="3"/>
  <c r="P145" i="1" s="1"/>
  <c r="J147" i="3"/>
  <c r="J148" i="3"/>
  <c r="J149" i="3"/>
  <c r="P148" i="1" s="1"/>
  <c r="J150" i="3"/>
  <c r="P149" i="1" s="1"/>
  <c r="J151" i="3"/>
  <c r="J152" i="3"/>
  <c r="J3" i="3"/>
  <c r="I4" i="3"/>
  <c r="J3" i="1" s="1"/>
  <c r="I5" i="3"/>
  <c r="I6" i="3"/>
  <c r="I7" i="3"/>
  <c r="M6" i="1" s="1"/>
  <c r="I8" i="3"/>
  <c r="J7" i="1" s="1"/>
  <c r="I9" i="3"/>
  <c r="I10" i="3"/>
  <c r="I11" i="3"/>
  <c r="J10" i="1" s="1"/>
  <c r="I12" i="3"/>
  <c r="J11" i="1" s="1"/>
  <c r="I13" i="3"/>
  <c r="I14" i="3"/>
  <c r="I15" i="3"/>
  <c r="J14" i="1" s="1"/>
  <c r="I16" i="3"/>
  <c r="J15" i="1" s="1"/>
  <c r="I17" i="3"/>
  <c r="I18" i="3"/>
  <c r="I19" i="3"/>
  <c r="I20" i="3"/>
  <c r="J19" i="1" s="1"/>
  <c r="I21" i="3"/>
  <c r="I22" i="3"/>
  <c r="I92" i="3"/>
  <c r="H91" i="1" s="1"/>
  <c r="I93" i="3"/>
  <c r="I94" i="3"/>
  <c r="I95" i="3"/>
  <c r="K94" i="1" s="1"/>
  <c r="I96" i="3"/>
  <c r="I97" i="3"/>
  <c r="I98" i="3"/>
  <c r="I99" i="3"/>
  <c r="I98" i="1" s="1"/>
  <c r="I100" i="3"/>
  <c r="I99" i="1" s="1"/>
  <c r="I101" i="3"/>
  <c r="I102" i="3"/>
  <c r="I103" i="3"/>
  <c r="M102" i="1" s="1"/>
  <c r="I104" i="3"/>
  <c r="I105" i="3"/>
  <c r="I106" i="3"/>
  <c r="I107" i="3"/>
  <c r="J106" i="1" s="1"/>
  <c r="I108" i="3"/>
  <c r="L107" i="1" s="1"/>
  <c r="I109" i="3"/>
  <c r="I110" i="3"/>
  <c r="I111" i="3"/>
  <c r="J110" i="1" s="1"/>
  <c r="I112" i="3"/>
  <c r="I113" i="3"/>
  <c r="I114" i="3"/>
  <c r="I115" i="3"/>
  <c r="M114" i="1" s="1"/>
  <c r="I116" i="3"/>
  <c r="M115" i="1" s="1"/>
  <c r="I117" i="3"/>
  <c r="I118" i="3"/>
  <c r="I119" i="3"/>
  <c r="J118" i="1" s="1"/>
  <c r="I120" i="3"/>
  <c r="I121" i="3"/>
  <c r="I122" i="3"/>
  <c r="K121" i="1" s="1"/>
  <c r="I123" i="3"/>
  <c r="K122" i="1" s="1"/>
  <c r="I124" i="3"/>
  <c r="K123" i="1" s="1"/>
  <c r="I125" i="3"/>
  <c r="I126" i="3"/>
  <c r="K125" i="1" s="1"/>
  <c r="I127" i="3"/>
  <c r="H126" i="1" s="1"/>
  <c r="I128" i="3"/>
  <c r="K127" i="1" s="1"/>
  <c r="I129" i="3"/>
  <c r="I130" i="3"/>
  <c r="K129" i="1" s="1"/>
  <c r="I131" i="3"/>
  <c r="K130" i="1" s="1"/>
  <c r="I132" i="3"/>
  <c r="K131" i="1" s="1"/>
  <c r="I133" i="3"/>
  <c r="I134" i="3"/>
  <c r="K133" i="1" s="1"/>
  <c r="I135" i="3"/>
  <c r="H134" i="1" s="1"/>
  <c r="I136" i="3"/>
  <c r="K135" i="1" s="1"/>
  <c r="I137" i="3"/>
  <c r="I138" i="3"/>
  <c r="K137" i="1" s="1"/>
  <c r="I139" i="3"/>
  <c r="K138" i="1" s="1"/>
  <c r="I140" i="3"/>
  <c r="K139" i="1" s="1"/>
  <c r="I141" i="3"/>
  <c r="I142" i="3"/>
  <c r="K141" i="1" s="1"/>
  <c r="I143" i="3"/>
  <c r="H142" i="1" s="1"/>
  <c r="I144" i="3"/>
  <c r="K143" i="1" s="1"/>
  <c r="I145" i="3"/>
  <c r="I146" i="3"/>
  <c r="K145" i="1" s="1"/>
  <c r="I147" i="3"/>
  <c r="K146" i="1" s="1"/>
  <c r="I148" i="3"/>
  <c r="K147" i="1" s="1"/>
  <c r="I149" i="3"/>
  <c r="I150" i="3"/>
  <c r="K149" i="1" s="1"/>
  <c r="I151" i="3"/>
  <c r="H150" i="1" s="1"/>
  <c r="I152" i="3"/>
  <c r="K151" i="1" s="1"/>
  <c r="I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3" i="3"/>
  <c r="J119" i="1" l="1"/>
  <c r="H119" i="1"/>
  <c r="M119" i="1"/>
  <c r="J111" i="1"/>
  <c r="H111" i="1"/>
  <c r="M111" i="1"/>
  <c r="J103" i="1"/>
  <c r="H103" i="1"/>
  <c r="M103" i="1"/>
  <c r="J95" i="1"/>
  <c r="H95" i="1"/>
  <c r="M95" i="1"/>
  <c r="N21" i="1"/>
  <c r="R21" i="1"/>
  <c r="P21" i="1"/>
  <c r="S21" i="1"/>
  <c r="O21" i="1"/>
  <c r="J23" i="3"/>
  <c r="N13" i="1"/>
  <c r="R13" i="1"/>
  <c r="P13" i="1"/>
  <c r="S13" i="1"/>
  <c r="O13" i="1"/>
  <c r="N5" i="1"/>
  <c r="R5" i="1"/>
  <c r="P5" i="1"/>
  <c r="S5" i="1"/>
  <c r="O5" i="1"/>
  <c r="L151" i="1"/>
  <c r="L143" i="1"/>
  <c r="L135" i="1"/>
  <c r="I131" i="1"/>
  <c r="L127" i="1"/>
  <c r="I123" i="1"/>
  <c r="I119" i="1"/>
  <c r="I107" i="1"/>
  <c r="L103" i="1"/>
  <c r="H99" i="1"/>
  <c r="M91" i="1"/>
  <c r="J117" i="1"/>
  <c r="I117" i="1"/>
  <c r="J113" i="1"/>
  <c r="L113" i="1"/>
  <c r="J109" i="1"/>
  <c r="I109" i="1"/>
  <c r="J105" i="1"/>
  <c r="L105" i="1"/>
  <c r="J101" i="1"/>
  <c r="I101" i="1"/>
  <c r="J97" i="1"/>
  <c r="L97" i="1"/>
  <c r="J93" i="1"/>
  <c r="I93" i="1"/>
  <c r="J21" i="1"/>
  <c r="L21" i="1"/>
  <c r="I21" i="1"/>
  <c r="J17" i="1"/>
  <c r="I17" i="1"/>
  <c r="L17" i="1"/>
  <c r="J13" i="1"/>
  <c r="L13" i="1"/>
  <c r="I13" i="1"/>
  <c r="J9" i="1"/>
  <c r="I9" i="1"/>
  <c r="L9" i="1"/>
  <c r="J5" i="1"/>
  <c r="L5" i="1"/>
  <c r="I5" i="1"/>
  <c r="P151" i="1"/>
  <c r="O151" i="1"/>
  <c r="R151" i="1"/>
  <c r="P147" i="1"/>
  <c r="R147" i="1"/>
  <c r="O147" i="1"/>
  <c r="N143" i="1"/>
  <c r="R143" i="1"/>
  <c r="S143" i="1"/>
  <c r="P143" i="1"/>
  <c r="N139" i="1"/>
  <c r="R139" i="1"/>
  <c r="P139" i="1"/>
  <c r="O139" i="1"/>
  <c r="S139" i="1"/>
  <c r="N135" i="1"/>
  <c r="R135" i="1"/>
  <c r="S135" i="1"/>
  <c r="Q135" i="1"/>
  <c r="O135" i="1"/>
  <c r="N131" i="1"/>
  <c r="R131" i="1"/>
  <c r="P131" i="1"/>
  <c r="Q131" i="1"/>
  <c r="N127" i="1"/>
  <c r="R127" i="1"/>
  <c r="S127" i="1"/>
  <c r="P127" i="1"/>
  <c r="N123" i="1"/>
  <c r="R123" i="1"/>
  <c r="P123" i="1"/>
  <c r="S123" i="1"/>
  <c r="O123" i="1"/>
  <c r="N119" i="1"/>
  <c r="R119" i="1"/>
  <c r="S119" i="1"/>
  <c r="O119" i="1"/>
  <c r="Q119" i="1"/>
  <c r="N115" i="1"/>
  <c r="R115" i="1"/>
  <c r="P115" i="1"/>
  <c r="Q115" i="1"/>
  <c r="N111" i="1"/>
  <c r="R111" i="1"/>
  <c r="P111" i="1"/>
  <c r="S111" i="1"/>
  <c r="Q111" i="1"/>
  <c r="N107" i="1"/>
  <c r="R107" i="1"/>
  <c r="S107" i="1"/>
  <c r="P107" i="1"/>
  <c r="O107" i="1"/>
  <c r="N103" i="1"/>
  <c r="R103" i="1"/>
  <c r="P103" i="1"/>
  <c r="S103" i="1"/>
  <c r="Q103" i="1"/>
  <c r="N99" i="1"/>
  <c r="R99" i="1"/>
  <c r="S99" i="1"/>
  <c r="P99" i="1"/>
  <c r="O99" i="1"/>
  <c r="N95" i="1"/>
  <c r="R95" i="1"/>
  <c r="P95" i="1"/>
  <c r="S95" i="1"/>
  <c r="Q95" i="1"/>
  <c r="N91" i="1"/>
  <c r="R91" i="1"/>
  <c r="S91" i="1"/>
  <c r="P91" i="1"/>
  <c r="O91" i="1"/>
  <c r="N19" i="1"/>
  <c r="R19" i="1"/>
  <c r="P19" i="1"/>
  <c r="O19" i="1"/>
  <c r="S19" i="1"/>
  <c r="Q19" i="1"/>
  <c r="N15" i="1"/>
  <c r="R15" i="1"/>
  <c r="P15" i="1"/>
  <c r="O15" i="1"/>
  <c r="S15" i="1"/>
  <c r="Q15" i="1"/>
  <c r="N11" i="1"/>
  <c r="R11" i="1"/>
  <c r="P11" i="1"/>
  <c r="O11" i="1"/>
  <c r="S11" i="1"/>
  <c r="Q11" i="1"/>
  <c r="N7" i="1"/>
  <c r="R7" i="1"/>
  <c r="P7" i="1"/>
  <c r="O7" i="1"/>
  <c r="S7" i="1"/>
  <c r="Q7" i="1"/>
  <c r="N3" i="1"/>
  <c r="R3" i="1"/>
  <c r="P3" i="1"/>
  <c r="O3" i="1"/>
  <c r="S3" i="1"/>
  <c r="Q3" i="1"/>
  <c r="I151" i="1"/>
  <c r="J150" i="1"/>
  <c r="J149" i="1"/>
  <c r="L147" i="1"/>
  <c r="L146" i="1"/>
  <c r="M145" i="1"/>
  <c r="H145" i="1"/>
  <c r="I143" i="1"/>
  <c r="J142" i="1"/>
  <c r="J141" i="1"/>
  <c r="L139" i="1"/>
  <c r="L138" i="1"/>
  <c r="M137" i="1"/>
  <c r="H137" i="1"/>
  <c r="I135" i="1"/>
  <c r="J134" i="1"/>
  <c r="J133" i="1"/>
  <c r="L131" i="1"/>
  <c r="L130" i="1"/>
  <c r="M129" i="1"/>
  <c r="H129" i="1"/>
  <c r="I127" i="1"/>
  <c r="J126" i="1"/>
  <c r="J125" i="1"/>
  <c r="L123" i="1"/>
  <c r="L122" i="1"/>
  <c r="M121" i="1"/>
  <c r="H121" i="1"/>
  <c r="L119" i="1"/>
  <c r="K118" i="1"/>
  <c r="K117" i="1"/>
  <c r="H115" i="1"/>
  <c r="M113" i="1"/>
  <c r="K111" i="1"/>
  <c r="H109" i="1"/>
  <c r="M107" i="1"/>
  <c r="M106" i="1"/>
  <c r="K105" i="1"/>
  <c r="I103" i="1"/>
  <c r="M101" i="1"/>
  <c r="L99" i="1"/>
  <c r="J98" i="1"/>
  <c r="I97" i="1"/>
  <c r="M94" i="1"/>
  <c r="L93" i="1"/>
  <c r="I91" i="1"/>
  <c r="K21" i="1"/>
  <c r="M17" i="1"/>
  <c r="M10" i="1"/>
  <c r="H9" i="1"/>
  <c r="K5" i="1"/>
  <c r="S151" i="1"/>
  <c r="S144" i="1"/>
  <c r="P135" i="1"/>
  <c r="S132" i="1"/>
  <c r="Q123" i="1"/>
  <c r="O103" i="1"/>
  <c r="Q99" i="1"/>
  <c r="Q13" i="1"/>
  <c r="J2" i="1"/>
  <c r="H2" i="1"/>
  <c r="I148" i="1"/>
  <c r="M148" i="1"/>
  <c r="I144" i="1"/>
  <c r="M144" i="1"/>
  <c r="I140" i="1"/>
  <c r="M140" i="1"/>
  <c r="I136" i="1"/>
  <c r="M136" i="1"/>
  <c r="I132" i="1"/>
  <c r="M132" i="1"/>
  <c r="I128" i="1"/>
  <c r="M128" i="1"/>
  <c r="I124" i="1"/>
  <c r="M124" i="1"/>
  <c r="H120" i="1"/>
  <c r="L120" i="1"/>
  <c r="M120" i="1"/>
  <c r="H116" i="1"/>
  <c r="L116" i="1"/>
  <c r="J116" i="1"/>
  <c r="H112" i="1"/>
  <c r="L112" i="1"/>
  <c r="M112" i="1"/>
  <c r="H108" i="1"/>
  <c r="L108" i="1"/>
  <c r="J108" i="1"/>
  <c r="H104" i="1"/>
  <c r="L104" i="1"/>
  <c r="M104" i="1"/>
  <c r="H100" i="1"/>
  <c r="L100" i="1"/>
  <c r="J100" i="1"/>
  <c r="H96" i="1"/>
  <c r="L96" i="1"/>
  <c r="M96" i="1"/>
  <c r="H92" i="1"/>
  <c r="L92" i="1"/>
  <c r="J92" i="1"/>
  <c r="H20" i="1"/>
  <c r="L20" i="1"/>
  <c r="M20" i="1"/>
  <c r="J20" i="1"/>
  <c r="H16" i="1"/>
  <c r="L16" i="1"/>
  <c r="J16" i="1"/>
  <c r="M16" i="1"/>
  <c r="H12" i="1"/>
  <c r="L12" i="1"/>
  <c r="M12" i="1"/>
  <c r="J12" i="1"/>
  <c r="H8" i="1"/>
  <c r="L8" i="1"/>
  <c r="J8" i="1"/>
  <c r="M8" i="1"/>
  <c r="H4" i="1"/>
  <c r="L4" i="1"/>
  <c r="M4" i="1"/>
  <c r="J4" i="1"/>
  <c r="N150" i="1"/>
  <c r="R150" i="1"/>
  <c r="P150" i="1"/>
  <c r="S150" i="1"/>
  <c r="N146" i="1"/>
  <c r="R146" i="1"/>
  <c r="S146" i="1"/>
  <c r="P146" i="1"/>
  <c r="P142" i="1"/>
  <c r="N142" i="1"/>
  <c r="S142" i="1"/>
  <c r="R142" i="1"/>
  <c r="O142" i="1"/>
  <c r="P138" i="1"/>
  <c r="Q138" i="1"/>
  <c r="N138" i="1"/>
  <c r="R138" i="1"/>
  <c r="P134" i="1"/>
  <c r="N134" i="1"/>
  <c r="S134" i="1"/>
  <c r="Q134" i="1"/>
  <c r="P130" i="1"/>
  <c r="Q130" i="1"/>
  <c r="S130" i="1"/>
  <c r="O130" i="1"/>
  <c r="P126" i="1"/>
  <c r="N126" i="1"/>
  <c r="S126" i="1"/>
  <c r="O126" i="1"/>
  <c r="R126" i="1"/>
  <c r="P122" i="1"/>
  <c r="Q122" i="1"/>
  <c r="R122" i="1"/>
  <c r="N122" i="1"/>
  <c r="P118" i="1"/>
  <c r="N118" i="1"/>
  <c r="S118" i="1"/>
  <c r="Q118" i="1"/>
  <c r="P114" i="1"/>
  <c r="N114" i="1"/>
  <c r="Q114" i="1"/>
  <c r="O114" i="1"/>
  <c r="S114" i="1"/>
  <c r="P110" i="1"/>
  <c r="Q110" i="1"/>
  <c r="N110" i="1"/>
  <c r="S110" i="1"/>
  <c r="R110" i="1"/>
  <c r="P106" i="1"/>
  <c r="N106" i="1"/>
  <c r="S106" i="1"/>
  <c r="Q106" i="1"/>
  <c r="O106" i="1"/>
  <c r="P102" i="1"/>
  <c r="Q102" i="1"/>
  <c r="N102" i="1"/>
  <c r="S102" i="1"/>
  <c r="R102" i="1"/>
  <c r="P98" i="1"/>
  <c r="N98" i="1"/>
  <c r="S98" i="1"/>
  <c r="Q98" i="1"/>
  <c r="O98" i="1"/>
  <c r="P94" i="1"/>
  <c r="Q94" i="1"/>
  <c r="N94" i="1"/>
  <c r="S94" i="1"/>
  <c r="R94" i="1"/>
  <c r="M2" i="1"/>
  <c r="M151" i="1"/>
  <c r="H151" i="1"/>
  <c r="I149" i="1"/>
  <c r="J148" i="1"/>
  <c r="J147" i="1"/>
  <c r="L145" i="1"/>
  <c r="L144" i="1"/>
  <c r="M143" i="1"/>
  <c r="H143" i="1"/>
  <c r="I141" i="1"/>
  <c r="J140" i="1"/>
  <c r="J139" i="1"/>
  <c r="L137" i="1"/>
  <c r="L136" i="1"/>
  <c r="M135" i="1"/>
  <c r="H135" i="1"/>
  <c r="I133" i="1"/>
  <c r="J132" i="1"/>
  <c r="J131" i="1"/>
  <c r="L129" i="1"/>
  <c r="L128" i="1"/>
  <c r="M127" i="1"/>
  <c r="H127" i="1"/>
  <c r="I125" i="1"/>
  <c r="J124" i="1"/>
  <c r="J123" i="1"/>
  <c r="L121" i="1"/>
  <c r="K120" i="1"/>
  <c r="K119" i="1"/>
  <c r="H117" i="1"/>
  <c r="K113" i="1"/>
  <c r="J112" i="1"/>
  <c r="I111" i="1"/>
  <c r="M109" i="1"/>
  <c r="M108" i="1"/>
  <c r="I105" i="1"/>
  <c r="I104" i="1"/>
  <c r="L101" i="1"/>
  <c r="K100" i="1"/>
  <c r="H97" i="1"/>
  <c r="L95" i="1"/>
  <c r="K93" i="1"/>
  <c r="I92" i="1"/>
  <c r="H21" i="1"/>
  <c r="K17" i="1"/>
  <c r="M13" i="1"/>
  <c r="I12" i="1"/>
  <c r="K8" i="1"/>
  <c r="H5" i="1"/>
  <c r="Q151" i="1"/>
  <c r="S147" i="1"/>
  <c r="O146" i="1"/>
  <c r="Q139" i="1"/>
  <c r="R134" i="1"/>
  <c r="N130" i="1"/>
  <c r="Q127" i="1"/>
  <c r="S122" i="1"/>
  <c r="O118" i="1"/>
  <c r="S115" i="1"/>
  <c r="O102" i="1"/>
  <c r="R98" i="1"/>
  <c r="O95" i="1"/>
  <c r="Q91" i="1"/>
  <c r="Q21" i="1"/>
  <c r="J115" i="1"/>
  <c r="K115" i="1"/>
  <c r="J107" i="1"/>
  <c r="K107" i="1"/>
  <c r="J99" i="1"/>
  <c r="K99" i="1"/>
  <c r="J91" i="1"/>
  <c r="K91" i="1"/>
  <c r="N17" i="1"/>
  <c r="R17" i="1"/>
  <c r="P17" i="1"/>
  <c r="S17" i="1"/>
  <c r="O17" i="1"/>
  <c r="Q17" i="1"/>
  <c r="N9" i="1"/>
  <c r="R9" i="1"/>
  <c r="P9" i="1"/>
  <c r="S9" i="1"/>
  <c r="O9" i="1"/>
  <c r="Q9" i="1"/>
  <c r="I147" i="1"/>
  <c r="I139" i="1"/>
  <c r="L115" i="1"/>
  <c r="K95" i="1"/>
  <c r="I150" i="1"/>
  <c r="M150" i="1"/>
  <c r="I146" i="1"/>
  <c r="M146" i="1"/>
  <c r="I142" i="1"/>
  <c r="M142" i="1"/>
  <c r="I138" i="1"/>
  <c r="M138" i="1"/>
  <c r="I134" i="1"/>
  <c r="M134" i="1"/>
  <c r="I130" i="1"/>
  <c r="M130" i="1"/>
  <c r="I126" i="1"/>
  <c r="M126" i="1"/>
  <c r="I122" i="1"/>
  <c r="M122" i="1"/>
  <c r="H118" i="1"/>
  <c r="L118" i="1"/>
  <c r="I118" i="1"/>
  <c r="H114" i="1"/>
  <c r="L114" i="1"/>
  <c r="K114" i="1"/>
  <c r="H110" i="1"/>
  <c r="L110" i="1"/>
  <c r="I110" i="1"/>
  <c r="H106" i="1"/>
  <c r="L106" i="1"/>
  <c r="K106" i="1"/>
  <c r="H102" i="1"/>
  <c r="L102" i="1"/>
  <c r="I102" i="1"/>
  <c r="H98" i="1"/>
  <c r="L98" i="1"/>
  <c r="K98" i="1"/>
  <c r="H94" i="1"/>
  <c r="L94" i="1"/>
  <c r="I94" i="1"/>
  <c r="I23" i="3"/>
  <c r="H18" i="1"/>
  <c r="L18" i="1"/>
  <c r="I18" i="1"/>
  <c r="K18" i="1"/>
  <c r="H14" i="1"/>
  <c r="L14" i="1"/>
  <c r="K14" i="1"/>
  <c r="I14" i="1"/>
  <c r="H10" i="1"/>
  <c r="L10" i="1"/>
  <c r="I10" i="1"/>
  <c r="K10" i="1"/>
  <c r="H6" i="1"/>
  <c r="L6" i="1"/>
  <c r="K6" i="1"/>
  <c r="I6" i="1"/>
  <c r="O2" i="1"/>
  <c r="S2" i="1"/>
  <c r="P2" i="1"/>
  <c r="R2" i="1"/>
  <c r="N148" i="1"/>
  <c r="R148" i="1"/>
  <c r="Q148" i="1"/>
  <c r="O148" i="1"/>
  <c r="P144" i="1"/>
  <c r="R144" i="1"/>
  <c r="N144" i="1"/>
  <c r="Q144" i="1"/>
  <c r="P140" i="1"/>
  <c r="O140" i="1"/>
  <c r="Q140" i="1"/>
  <c r="S140" i="1"/>
  <c r="P136" i="1"/>
  <c r="R136" i="1"/>
  <c r="S136" i="1"/>
  <c r="O136" i="1"/>
  <c r="P132" i="1"/>
  <c r="O132" i="1"/>
  <c r="N132" i="1"/>
  <c r="R132" i="1"/>
  <c r="P128" i="1"/>
  <c r="R128" i="1"/>
  <c r="Q128" i="1"/>
  <c r="N128" i="1"/>
  <c r="P124" i="1"/>
  <c r="O124" i="1"/>
  <c r="S124" i="1"/>
  <c r="Q124" i="1"/>
  <c r="P120" i="1"/>
  <c r="R120" i="1"/>
  <c r="O120" i="1"/>
  <c r="S120" i="1"/>
  <c r="P116" i="1"/>
  <c r="O116" i="1"/>
  <c r="R116" i="1"/>
  <c r="N116" i="1"/>
  <c r="P112" i="1"/>
  <c r="O112" i="1"/>
  <c r="R112" i="1"/>
  <c r="Q112" i="1"/>
  <c r="P108" i="1"/>
  <c r="R108" i="1"/>
  <c r="O108" i="1"/>
  <c r="S108" i="1"/>
  <c r="N108" i="1"/>
  <c r="P104" i="1"/>
  <c r="O104" i="1"/>
  <c r="R104" i="1"/>
  <c r="Q104" i="1"/>
  <c r="P100" i="1"/>
  <c r="R100" i="1"/>
  <c r="O100" i="1"/>
  <c r="N100" i="1"/>
  <c r="S100" i="1"/>
  <c r="P96" i="1"/>
  <c r="O96" i="1"/>
  <c r="R96" i="1"/>
  <c r="Q96" i="1"/>
  <c r="P92" i="1"/>
  <c r="R92" i="1"/>
  <c r="O92" i="1"/>
  <c r="S92" i="1"/>
  <c r="N92" i="1"/>
  <c r="P20" i="1"/>
  <c r="N20" i="1"/>
  <c r="R20" i="1"/>
  <c r="Q20" i="1"/>
  <c r="S20" i="1"/>
  <c r="O20" i="1"/>
  <c r="P16" i="1"/>
  <c r="N16" i="1"/>
  <c r="R16" i="1"/>
  <c r="Q16" i="1"/>
  <c r="S16" i="1"/>
  <c r="P12" i="1"/>
  <c r="N12" i="1"/>
  <c r="R12" i="1"/>
  <c r="Q12" i="1"/>
  <c r="S12" i="1"/>
  <c r="O12" i="1"/>
  <c r="P8" i="1"/>
  <c r="N8" i="1"/>
  <c r="R8" i="1"/>
  <c r="Q8" i="1"/>
  <c r="S8" i="1"/>
  <c r="P4" i="1"/>
  <c r="N4" i="1"/>
  <c r="R4" i="1"/>
  <c r="Q4" i="1"/>
  <c r="S4" i="1"/>
  <c r="O4" i="1"/>
  <c r="J151" i="1"/>
  <c r="K150" i="1"/>
  <c r="L149" i="1"/>
  <c r="M147" i="1"/>
  <c r="H147" i="1"/>
  <c r="H146" i="1"/>
  <c r="I145" i="1"/>
  <c r="J143" i="1"/>
  <c r="K142" i="1"/>
  <c r="L141" i="1"/>
  <c r="M139" i="1"/>
  <c r="H139" i="1"/>
  <c r="H138" i="1"/>
  <c r="I137" i="1"/>
  <c r="J135" i="1"/>
  <c r="K134" i="1"/>
  <c r="L133" i="1"/>
  <c r="M131" i="1"/>
  <c r="H131" i="1"/>
  <c r="H130" i="1"/>
  <c r="I129" i="1"/>
  <c r="J127" i="1"/>
  <c r="K126" i="1"/>
  <c r="L125" i="1"/>
  <c r="M123" i="1"/>
  <c r="H123" i="1"/>
  <c r="H122" i="1"/>
  <c r="I121" i="1"/>
  <c r="M118" i="1"/>
  <c r="L117" i="1"/>
  <c r="I115" i="1"/>
  <c r="I114" i="1"/>
  <c r="H113" i="1"/>
  <c r="L111" i="1"/>
  <c r="K110" i="1"/>
  <c r="K109" i="1"/>
  <c r="H107" i="1"/>
  <c r="M105" i="1"/>
  <c r="K103" i="1"/>
  <c r="J102" i="1"/>
  <c r="H101" i="1"/>
  <c r="M99" i="1"/>
  <c r="M98" i="1"/>
  <c r="K97" i="1"/>
  <c r="I95" i="1"/>
  <c r="M93" i="1"/>
  <c r="L91" i="1"/>
  <c r="M21" i="1"/>
  <c r="I20" i="1"/>
  <c r="J18" i="1"/>
  <c r="K16" i="1"/>
  <c r="M14" i="1"/>
  <c r="H13" i="1"/>
  <c r="K9" i="1"/>
  <c r="M5" i="1"/>
  <c r="I4" i="1"/>
  <c r="Q2" i="1"/>
  <c r="Q150" i="1"/>
  <c r="S148" i="1"/>
  <c r="N147" i="1"/>
  <c r="O143" i="1"/>
  <c r="R140" i="1"/>
  <c r="O138" i="1"/>
  <c r="N136" i="1"/>
  <c r="O131" i="1"/>
  <c r="S128" i="1"/>
  <c r="Q126" i="1"/>
  <c r="N124" i="1"/>
  <c r="P119" i="1"/>
  <c r="S116" i="1"/>
  <c r="R114" i="1"/>
  <c r="O111" i="1"/>
  <c r="Q107" i="1"/>
  <c r="N104" i="1"/>
  <c r="Q100" i="1"/>
  <c r="S96" i="1"/>
  <c r="O16" i="1"/>
  <c r="Q5" i="1"/>
  <c r="N141" i="1"/>
  <c r="R141" i="1"/>
  <c r="O141" i="1"/>
  <c r="N137" i="1"/>
  <c r="R137" i="1"/>
  <c r="Q137" i="1"/>
  <c r="N133" i="1"/>
  <c r="R133" i="1"/>
  <c r="O133" i="1"/>
  <c r="N129" i="1"/>
  <c r="R129" i="1"/>
  <c r="Q129" i="1"/>
  <c r="N125" i="1"/>
  <c r="R125" i="1"/>
  <c r="O125" i="1"/>
  <c r="N121" i="1"/>
  <c r="R121" i="1"/>
  <c r="Q121" i="1"/>
  <c r="N117" i="1"/>
  <c r="R117" i="1"/>
  <c r="O117" i="1"/>
  <c r="N113" i="1"/>
  <c r="R113" i="1"/>
  <c r="O113" i="1"/>
  <c r="Q113" i="1"/>
  <c r="N109" i="1"/>
  <c r="R109" i="1"/>
  <c r="Q109" i="1"/>
  <c r="O109" i="1"/>
  <c r="N105" i="1"/>
  <c r="R105" i="1"/>
  <c r="O105" i="1"/>
  <c r="Q105" i="1"/>
  <c r="N101" i="1"/>
  <c r="R101" i="1"/>
  <c r="Q101" i="1"/>
  <c r="O101" i="1"/>
  <c r="N97" i="1"/>
  <c r="R97" i="1"/>
  <c r="O97" i="1"/>
  <c r="Q97" i="1"/>
  <c r="N93" i="1"/>
  <c r="R93" i="1"/>
  <c r="Q93" i="1"/>
  <c r="O93" i="1"/>
  <c r="P18" i="1"/>
  <c r="N18" i="1"/>
  <c r="R18" i="1"/>
  <c r="Q18" i="1"/>
  <c r="O18" i="1"/>
  <c r="P14" i="1"/>
  <c r="N14" i="1"/>
  <c r="R14" i="1"/>
  <c r="Q14" i="1"/>
  <c r="O14" i="1"/>
  <c r="P10" i="1"/>
  <c r="N10" i="1"/>
  <c r="R10" i="1"/>
  <c r="Q10" i="1"/>
  <c r="O10" i="1"/>
  <c r="P6" i="1"/>
  <c r="N6" i="1"/>
  <c r="R6" i="1"/>
  <c r="Q6" i="1"/>
  <c r="O6" i="1"/>
  <c r="K19" i="1"/>
  <c r="M15" i="1"/>
  <c r="H15" i="1"/>
  <c r="K11" i="1"/>
  <c r="M7" i="1"/>
  <c r="H7" i="1"/>
  <c r="K3" i="1"/>
  <c r="S149" i="1"/>
  <c r="N149" i="1"/>
  <c r="Q145" i="1"/>
  <c r="P137" i="1"/>
  <c r="S133" i="1"/>
  <c r="O129" i="1"/>
  <c r="Q125" i="1"/>
  <c r="P117" i="1"/>
  <c r="P113" i="1"/>
  <c r="S109" i="1"/>
  <c r="P97" i="1"/>
  <c r="S93" i="1"/>
  <c r="S6" i="1"/>
  <c r="M19" i="1"/>
  <c r="H19" i="1"/>
  <c r="K15" i="1"/>
  <c r="M11" i="1"/>
  <c r="H11" i="1"/>
  <c r="K7" i="1"/>
  <c r="M3" i="1"/>
  <c r="H3" i="1"/>
  <c r="Q149" i="1"/>
  <c r="S145" i="1"/>
  <c r="N145" i="1"/>
  <c r="Q141" i="1"/>
  <c r="P133" i="1"/>
  <c r="S129" i="1"/>
  <c r="P121" i="1"/>
  <c r="S117" i="1"/>
  <c r="P105" i="1"/>
  <c r="S101" i="1"/>
  <c r="S14" i="1"/>
  <c r="O1" i="1"/>
  <c r="P1" i="1"/>
  <c r="Q1" i="1"/>
  <c r="R1" i="1"/>
  <c r="S1" i="1"/>
  <c r="N1" i="1"/>
  <c r="I1" i="1"/>
  <c r="J1" i="1"/>
  <c r="K1" i="1"/>
  <c r="L1" i="1"/>
  <c r="M1" i="1"/>
  <c r="H1" i="1"/>
  <c r="P22" i="1" l="1"/>
  <c r="N22" i="1"/>
  <c r="R22" i="1"/>
  <c r="Q22" i="1"/>
  <c r="O22" i="1"/>
  <c r="S22" i="1"/>
  <c r="J24" i="3"/>
  <c r="H22" i="1"/>
  <c r="L22" i="1"/>
  <c r="K22" i="1"/>
  <c r="I22" i="1"/>
  <c r="I24" i="3"/>
  <c r="M22" i="1"/>
  <c r="J22" i="1"/>
  <c r="F1" i="1"/>
  <c r="G1" i="1"/>
  <c r="E1" i="1"/>
  <c r="I25" i="3" l="1"/>
  <c r="J23" i="1"/>
  <c r="K23" i="1"/>
  <c r="H23" i="1"/>
  <c r="M23" i="1"/>
  <c r="L23" i="1"/>
  <c r="I23" i="1"/>
  <c r="J25" i="3"/>
  <c r="N23" i="1"/>
  <c r="R23" i="1"/>
  <c r="P23" i="1"/>
  <c r="O23" i="1"/>
  <c r="S23" i="1"/>
  <c r="Q23" i="1"/>
  <c r="I26" i="3" l="1"/>
  <c r="H24" i="1"/>
  <c r="L24" i="1"/>
  <c r="J24" i="1"/>
  <c r="M24" i="1"/>
  <c r="I24" i="1"/>
  <c r="K24" i="1"/>
  <c r="J26" i="3"/>
  <c r="P24" i="1"/>
  <c r="N24" i="1"/>
  <c r="R24" i="1"/>
  <c r="Q24" i="1"/>
  <c r="S24" i="1"/>
  <c r="O24" i="1"/>
  <c r="I27" i="3" l="1"/>
  <c r="J25" i="1"/>
  <c r="I25" i="1"/>
  <c r="L25" i="1"/>
  <c r="K25" i="1"/>
  <c r="M25" i="1"/>
  <c r="H25" i="1"/>
  <c r="J27" i="3"/>
  <c r="N25" i="1"/>
  <c r="R25" i="1"/>
  <c r="P25" i="1"/>
  <c r="S25" i="1"/>
  <c r="O25" i="1"/>
  <c r="Q25" i="1"/>
  <c r="I28" i="3" l="1"/>
  <c r="H26" i="1"/>
  <c r="L26" i="1"/>
  <c r="I26" i="1"/>
  <c r="K26" i="1"/>
  <c r="J26" i="1"/>
  <c r="M26" i="1"/>
  <c r="J28" i="3"/>
  <c r="P26" i="1"/>
  <c r="N26" i="1"/>
  <c r="R26" i="1"/>
  <c r="Q26" i="1"/>
  <c r="O26" i="1"/>
  <c r="S26" i="1"/>
  <c r="J29" i="3" l="1"/>
  <c r="N27" i="1"/>
  <c r="R27" i="1"/>
  <c r="P27" i="1"/>
  <c r="O27" i="1"/>
  <c r="S27" i="1"/>
  <c r="Q27" i="1"/>
  <c r="I29" i="3"/>
  <c r="J27" i="1"/>
  <c r="H27" i="1"/>
  <c r="M27" i="1"/>
  <c r="K27" i="1"/>
  <c r="I27" i="1"/>
  <c r="L27" i="1"/>
  <c r="J30" i="3" l="1"/>
  <c r="P28" i="1"/>
  <c r="N28" i="1"/>
  <c r="R28" i="1"/>
  <c r="Q28" i="1"/>
  <c r="S28" i="1"/>
  <c r="O28" i="1"/>
  <c r="I30" i="3"/>
  <c r="H28" i="1"/>
  <c r="L28" i="1"/>
  <c r="M28" i="1"/>
  <c r="J28" i="1"/>
  <c r="I28" i="1"/>
  <c r="K28" i="1"/>
  <c r="J31" i="3" l="1"/>
  <c r="N29" i="1"/>
  <c r="R29" i="1"/>
  <c r="P29" i="1"/>
  <c r="S29" i="1"/>
  <c r="O29" i="1"/>
  <c r="Q29" i="1"/>
  <c r="I31" i="3"/>
  <c r="J29" i="1"/>
  <c r="L29" i="1"/>
  <c r="I29" i="1"/>
  <c r="H29" i="1"/>
  <c r="K29" i="1"/>
  <c r="M29" i="1"/>
  <c r="J32" i="3" l="1"/>
  <c r="P30" i="1"/>
  <c r="N30" i="1"/>
  <c r="R30" i="1"/>
  <c r="Q30" i="1"/>
  <c r="O30" i="1"/>
  <c r="S30" i="1"/>
  <c r="I32" i="3"/>
  <c r="H30" i="1"/>
  <c r="L30" i="1"/>
  <c r="K30" i="1"/>
  <c r="I30" i="1"/>
  <c r="M30" i="1"/>
  <c r="J30" i="1"/>
  <c r="J33" i="3" l="1"/>
  <c r="N31" i="1"/>
  <c r="R31" i="1"/>
  <c r="P31" i="1"/>
  <c r="O31" i="1"/>
  <c r="S31" i="1"/>
  <c r="Q31" i="1"/>
  <c r="I33" i="3"/>
  <c r="J31" i="1"/>
  <c r="K31" i="1"/>
  <c r="H31" i="1"/>
  <c r="M31" i="1"/>
  <c r="L31" i="1"/>
  <c r="I31" i="1"/>
  <c r="J34" i="3" l="1"/>
  <c r="P32" i="1"/>
  <c r="N32" i="1"/>
  <c r="R32" i="1"/>
  <c r="Q32" i="1"/>
  <c r="S32" i="1"/>
  <c r="O32" i="1"/>
  <c r="I34" i="3"/>
  <c r="H32" i="1"/>
  <c r="L32" i="1"/>
  <c r="J32" i="1"/>
  <c r="M32" i="1"/>
  <c r="K32" i="1"/>
  <c r="I32" i="1"/>
  <c r="J35" i="3" l="1"/>
  <c r="N33" i="1"/>
  <c r="R33" i="1"/>
  <c r="P33" i="1"/>
  <c r="S33" i="1"/>
  <c r="O33" i="1"/>
  <c r="Q33" i="1"/>
  <c r="I35" i="3"/>
  <c r="J33" i="1"/>
  <c r="I33" i="1"/>
  <c r="L33" i="1"/>
  <c r="H33" i="1"/>
  <c r="K33" i="1"/>
  <c r="M33" i="1"/>
  <c r="J36" i="3" l="1"/>
  <c r="P34" i="1"/>
  <c r="N34" i="1"/>
  <c r="R34" i="1"/>
  <c r="Q34" i="1"/>
  <c r="O34" i="1"/>
  <c r="S34" i="1"/>
  <c r="I36" i="3"/>
  <c r="H34" i="1"/>
  <c r="L34" i="1"/>
  <c r="I34" i="1"/>
  <c r="K34" i="1"/>
  <c r="J34" i="1"/>
  <c r="M34" i="1"/>
  <c r="J37" i="3" l="1"/>
  <c r="N35" i="1"/>
  <c r="R35" i="1"/>
  <c r="P35" i="1"/>
  <c r="O35" i="1"/>
  <c r="S35" i="1"/>
  <c r="Q35" i="1"/>
  <c r="I37" i="3"/>
  <c r="J35" i="1"/>
  <c r="H35" i="1"/>
  <c r="M35" i="1"/>
  <c r="K35" i="1"/>
  <c r="I35" i="1"/>
  <c r="L35" i="1"/>
  <c r="I38" i="3" l="1"/>
  <c r="H36" i="1"/>
  <c r="L36" i="1"/>
  <c r="M36" i="1"/>
  <c r="J36" i="1"/>
  <c r="I36" i="1"/>
  <c r="K36" i="1"/>
  <c r="J38" i="3"/>
  <c r="P36" i="1"/>
  <c r="N36" i="1"/>
  <c r="R36" i="1"/>
  <c r="Q36" i="1"/>
  <c r="S36" i="1"/>
  <c r="O36" i="1"/>
  <c r="I39" i="3" l="1"/>
  <c r="J37" i="1"/>
  <c r="L37" i="1"/>
  <c r="I37" i="1"/>
  <c r="M37" i="1"/>
  <c r="H37" i="1"/>
  <c r="K37" i="1"/>
  <c r="J39" i="3"/>
  <c r="N37" i="1"/>
  <c r="R37" i="1"/>
  <c r="P37" i="1"/>
  <c r="S37" i="1"/>
  <c r="O37" i="1"/>
  <c r="Q37" i="1"/>
  <c r="I40" i="3" l="1"/>
  <c r="H38" i="1"/>
  <c r="L38" i="1"/>
  <c r="K38" i="1"/>
  <c r="I38" i="1"/>
  <c r="M38" i="1"/>
  <c r="J38" i="1"/>
  <c r="J40" i="3"/>
  <c r="P38" i="1"/>
  <c r="N38" i="1"/>
  <c r="R38" i="1"/>
  <c r="Q38" i="1"/>
  <c r="O38" i="1"/>
  <c r="S38" i="1"/>
  <c r="I41" i="3" l="1"/>
  <c r="J39" i="1"/>
  <c r="K39" i="1"/>
  <c r="H39" i="1"/>
  <c r="M39" i="1"/>
  <c r="L39" i="1"/>
  <c r="I39" i="1"/>
  <c r="J41" i="3"/>
  <c r="N39" i="1"/>
  <c r="R39" i="1"/>
  <c r="P39" i="1"/>
  <c r="O39" i="1"/>
  <c r="S39" i="1"/>
  <c r="Q39" i="1"/>
  <c r="J42" i="3" l="1"/>
  <c r="P40" i="1"/>
  <c r="N40" i="1"/>
  <c r="R40" i="1"/>
  <c r="Q40" i="1"/>
  <c r="S40" i="1"/>
  <c r="O40" i="1"/>
  <c r="I42" i="3"/>
  <c r="H40" i="1"/>
  <c r="L40" i="1"/>
  <c r="J40" i="1"/>
  <c r="M40" i="1"/>
  <c r="I40" i="1"/>
  <c r="K40" i="1"/>
  <c r="I43" i="3" l="1"/>
  <c r="J41" i="1"/>
  <c r="I41" i="1"/>
  <c r="L41" i="1"/>
  <c r="K41" i="1"/>
  <c r="H41" i="1"/>
  <c r="M41" i="1"/>
  <c r="J43" i="3"/>
  <c r="N41" i="1"/>
  <c r="R41" i="1"/>
  <c r="P41" i="1"/>
  <c r="S41" i="1"/>
  <c r="O41" i="1"/>
  <c r="Q41" i="1"/>
  <c r="J44" i="3" l="1"/>
  <c r="P42" i="1"/>
  <c r="N42" i="1"/>
  <c r="R42" i="1"/>
  <c r="Q42" i="1"/>
  <c r="O42" i="1"/>
  <c r="S42" i="1"/>
  <c r="I44" i="3"/>
  <c r="H42" i="1"/>
  <c r="L42" i="1"/>
  <c r="I42" i="1"/>
  <c r="K42" i="1"/>
  <c r="J42" i="1"/>
  <c r="M42" i="1"/>
  <c r="I45" i="3" l="1"/>
  <c r="J43" i="1"/>
  <c r="H43" i="1"/>
  <c r="M43" i="1"/>
  <c r="K43" i="1"/>
  <c r="I43" i="1"/>
  <c r="L43" i="1"/>
  <c r="J45" i="3"/>
  <c r="N43" i="1"/>
  <c r="R43" i="1"/>
  <c r="P43" i="1"/>
  <c r="O43" i="1"/>
  <c r="S43" i="1"/>
  <c r="Q43" i="1"/>
  <c r="J46" i="3" l="1"/>
  <c r="P44" i="1"/>
  <c r="N44" i="1"/>
  <c r="R44" i="1"/>
  <c r="Q44" i="1"/>
  <c r="S44" i="1"/>
  <c r="O44" i="1"/>
  <c r="I46" i="3"/>
  <c r="H44" i="1"/>
  <c r="L44" i="1"/>
  <c r="M44" i="1"/>
  <c r="J44" i="1"/>
  <c r="I44" i="1"/>
  <c r="K44" i="1"/>
  <c r="I47" i="3" l="1"/>
  <c r="J45" i="1"/>
  <c r="L45" i="1"/>
  <c r="I45" i="1"/>
  <c r="H45" i="1"/>
  <c r="M45" i="1"/>
  <c r="K45" i="1"/>
  <c r="J47" i="3"/>
  <c r="N45" i="1"/>
  <c r="R45" i="1"/>
  <c r="P45" i="1"/>
  <c r="S45" i="1"/>
  <c r="O45" i="1"/>
  <c r="Q45" i="1"/>
  <c r="J48" i="3" l="1"/>
  <c r="P46" i="1"/>
  <c r="N46" i="1"/>
  <c r="R46" i="1"/>
  <c r="Q46" i="1"/>
  <c r="O46" i="1"/>
  <c r="S46" i="1"/>
  <c r="I48" i="3"/>
  <c r="H46" i="1"/>
  <c r="L46" i="1"/>
  <c r="K46" i="1"/>
  <c r="I46" i="1"/>
  <c r="M46" i="1"/>
  <c r="J46" i="1"/>
  <c r="I49" i="3" l="1"/>
  <c r="J47" i="1"/>
  <c r="K47" i="1"/>
  <c r="H47" i="1"/>
  <c r="M47" i="1"/>
  <c r="I47" i="1"/>
  <c r="L47" i="1"/>
  <c r="J49" i="3"/>
  <c r="N47" i="1"/>
  <c r="R47" i="1"/>
  <c r="P47" i="1"/>
  <c r="O47" i="1"/>
  <c r="S47" i="1"/>
  <c r="Q47" i="1"/>
  <c r="J50" i="3" l="1"/>
  <c r="P48" i="1"/>
  <c r="N48" i="1"/>
  <c r="R48" i="1"/>
  <c r="Q48" i="1"/>
  <c r="S48" i="1"/>
  <c r="O48" i="1"/>
  <c r="I50" i="3"/>
  <c r="H48" i="1"/>
  <c r="L48" i="1"/>
  <c r="J48" i="1"/>
  <c r="M48" i="1"/>
  <c r="K48" i="1"/>
  <c r="I48" i="1"/>
  <c r="I51" i="3" l="1"/>
  <c r="J49" i="1"/>
  <c r="I49" i="1"/>
  <c r="L49" i="1"/>
  <c r="K49" i="1"/>
  <c r="M49" i="1"/>
  <c r="H49" i="1"/>
  <c r="J51" i="3"/>
  <c r="N49" i="1"/>
  <c r="R49" i="1"/>
  <c r="P49" i="1"/>
  <c r="S49" i="1"/>
  <c r="O49" i="1"/>
  <c r="Q49" i="1"/>
  <c r="J52" i="3" l="1"/>
  <c r="P50" i="1"/>
  <c r="N50" i="1"/>
  <c r="R50" i="1"/>
  <c r="Q50" i="1"/>
  <c r="O50" i="1"/>
  <c r="S50" i="1"/>
  <c r="I52" i="3"/>
  <c r="H50" i="1"/>
  <c r="L50" i="1"/>
  <c r="I50" i="1"/>
  <c r="K50" i="1"/>
  <c r="J50" i="1"/>
  <c r="M50" i="1"/>
  <c r="I53" i="3" l="1"/>
  <c r="J51" i="1"/>
  <c r="H51" i="1"/>
  <c r="M51" i="1"/>
  <c r="K51" i="1"/>
  <c r="I51" i="1"/>
  <c r="L51" i="1"/>
  <c r="J53" i="3"/>
  <c r="N51" i="1"/>
  <c r="R51" i="1"/>
  <c r="P51" i="1"/>
  <c r="S51" i="1"/>
  <c r="O51" i="1"/>
  <c r="Q51" i="1"/>
  <c r="J54" i="3" l="1"/>
  <c r="P52" i="1"/>
  <c r="N52" i="1"/>
  <c r="R52" i="1"/>
  <c r="S52" i="1"/>
  <c r="O52" i="1"/>
  <c r="Q52" i="1"/>
  <c r="I54" i="3"/>
  <c r="H52" i="1"/>
  <c r="L52" i="1"/>
  <c r="M52" i="1"/>
  <c r="J52" i="1"/>
  <c r="I52" i="1"/>
  <c r="K52" i="1"/>
  <c r="I55" i="3" l="1"/>
  <c r="J53" i="1"/>
  <c r="L53" i="1"/>
  <c r="I53" i="1"/>
  <c r="M53" i="1"/>
  <c r="H53" i="1"/>
  <c r="K53" i="1"/>
  <c r="J55" i="3"/>
  <c r="N53" i="1"/>
  <c r="R53" i="1"/>
  <c r="P53" i="1"/>
  <c r="O53" i="1"/>
  <c r="S53" i="1"/>
  <c r="Q53" i="1"/>
  <c r="J56" i="3" l="1"/>
  <c r="P54" i="1"/>
  <c r="N54" i="1"/>
  <c r="R54" i="1"/>
  <c r="Q54" i="1"/>
  <c r="S54" i="1"/>
  <c r="O54" i="1"/>
  <c r="I56" i="3"/>
  <c r="H54" i="1"/>
  <c r="L54" i="1"/>
  <c r="K54" i="1"/>
  <c r="I54" i="1"/>
  <c r="J54" i="1"/>
  <c r="M54" i="1"/>
  <c r="I57" i="3" l="1"/>
  <c r="J55" i="1"/>
  <c r="K55" i="1"/>
  <c r="H55" i="1"/>
  <c r="M55" i="1"/>
  <c r="L55" i="1"/>
  <c r="I55" i="1"/>
  <c r="J57" i="3"/>
  <c r="N55" i="1"/>
  <c r="R55" i="1"/>
  <c r="P55" i="1"/>
  <c r="S55" i="1"/>
  <c r="Q55" i="1"/>
  <c r="O55" i="1"/>
  <c r="J58" i="3" l="1"/>
  <c r="P56" i="1"/>
  <c r="N56" i="1"/>
  <c r="R56" i="1"/>
  <c r="Q56" i="1"/>
  <c r="S56" i="1"/>
  <c r="O56" i="1"/>
  <c r="I58" i="3"/>
  <c r="H56" i="1"/>
  <c r="L56" i="1"/>
  <c r="J56" i="1"/>
  <c r="M56" i="1"/>
  <c r="K56" i="1"/>
  <c r="I56" i="1"/>
  <c r="I59" i="3" l="1"/>
  <c r="J57" i="1"/>
  <c r="I57" i="1"/>
  <c r="L57" i="1"/>
  <c r="K57" i="1"/>
  <c r="M57" i="1"/>
  <c r="H57" i="1"/>
  <c r="J59" i="3"/>
  <c r="N57" i="1"/>
  <c r="R57" i="1"/>
  <c r="P57" i="1"/>
  <c r="O57" i="1"/>
  <c r="Q57" i="1"/>
  <c r="S57" i="1"/>
  <c r="J60" i="3" l="1"/>
  <c r="P58" i="1"/>
  <c r="N58" i="1"/>
  <c r="R58" i="1"/>
  <c r="Q58" i="1"/>
  <c r="O58" i="1"/>
  <c r="S58" i="1"/>
  <c r="I60" i="3"/>
  <c r="H58" i="1"/>
  <c r="L58" i="1"/>
  <c r="I58" i="1"/>
  <c r="K58" i="1"/>
  <c r="J58" i="1"/>
  <c r="M58" i="1"/>
  <c r="I61" i="3" l="1"/>
  <c r="J59" i="1"/>
  <c r="H59" i="1"/>
  <c r="M59" i="1"/>
  <c r="K59" i="1"/>
  <c r="I59" i="1"/>
  <c r="L59" i="1"/>
  <c r="J61" i="3"/>
  <c r="N59" i="1"/>
  <c r="P59" i="1"/>
  <c r="R59" i="1"/>
  <c r="S59" i="1"/>
  <c r="O59" i="1"/>
  <c r="Q59" i="1"/>
  <c r="J62" i="3" l="1"/>
  <c r="P60" i="1"/>
  <c r="R60" i="1"/>
  <c r="O60" i="1"/>
  <c r="S60" i="1"/>
  <c r="N60" i="1"/>
  <c r="Q60" i="1"/>
  <c r="I62" i="3"/>
  <c r="H60" i="1"/>
  <c r="L60" i="1"/>
  <c r="M60" i="1"/>
  <c r="J60" i="1"/>
  <c r="I60" i="1"/>
  <c r="K60" i="1"/>
  <c r="I63" i="3" l="1"/>
  <c r="J61" i="1"/>
  <c r="L61" i="1"/>
  <c r="I61" i="1"/>
  <c r="H61" i="1"/>
  <c r="K61" i="1"/>
  <c r="M61" i="1"/>
  <c r="J63" i="3"/>
  <c r="N61" i="1"/>
  <c r="R61" i="1"/>
  <c r="Q61" i="1"/>
  <c r="O61" i="1"/>
  <c r="S61" i="1"/>
  <c r="P61" i="1"/>
  <c r="J64" i="3" l="1"/>
  <c r="P62" i="1"/>
  <c r="Q62" i="1"/>
  <c r="N62" i="1"/>
  <c r="S62" i="1"/>
  <c r="R62" i="1"/>
  <c r="O62" i="1"/>
  <c r="I64" i="3"/>
  <c r="H62" i="1"/>
  <c r="L62" i="1"/>
  <c r="K62" i="1"/>
  <c r="I62" i="1"/>
  <c r="M62" i="1"/>
  <c r="J62" i="1"/>
  <c r="I65" i="3" l="1"/>
  <c r="J63" i="1"/>
  <c r="K63" i="1"/>
  <c r="H63" i="1"/>
  <c r="M63" i="1"/>
  <c r="L63" i="1"/>
  <c r="I63" i="1"/>
  <c r="J65" i="3"/>
  <c r="N63" i="1"/>
  <c r="R63" i="1"/>
  <c r="P63" i="1"/>
  <c r="S63" i="1"/>
  <c r="Q63" i="1"/>
  <c r="O63" i="1"/>
  <c r="J66" i="3" l="1"/>
  <c r="P64" i="1"/>
  <c r="O64" i="1"/>
  <c r="R64" i="1"/>
  <c r="Q64" i="1"/>
  <c r="S64" i="1"/>
  <c r="N64" i="1"/>
  <c r="I66" i="3"/>
  <c r="H64" i="1"/>
  <c r="L64" i="1"/>
  <c r="J64" i="1"/>
  <c r="M64" i="1"/>
  <c r="K64" i="1"/>
  <c r="I64" i="1"/>
  <c r="I67" i="3" l="1"/>
  <c r="J65" i="1"/>
  <c r="I65" i="1"/>
  <c r="L65" i="1"/>
  <c r="H65" i="1"/>
  <c r="K65" i="1"/>
  <c r="M65" i="1"/>
  <c r="J67" i="3"/>
  <c r="N65" i="1"/>
  <c r="R65" i="1"/>
  <c r="O65" i="1"/>
  <c r="Q65" i="1"/>
  <c r="P65" i="1"/>
  <c r="S65" i="1"/>
  <c r="J68" i="3" l="1"/>
  <c r="P66" i="1"/>
  <c r="N66" i="1"/>
  <c r="S66" i="1"/>
  <c r="Q66" i="1"/>
  <c r="O66" i="1"/>
  <c r="R66" i="1"/>
  <c r="I68" i="3"/>
  <c r="H66" i="1"/>
  <c r="L66" i="1"/>
  <c r="I66" i="1"/>
  <c r="K66" i="1"/>
  <c r="J66" i="1"/>
  <c r="M66" i="1"/>
  <c r="I69" i="3" l="1"/>
  <c r="J67" i="1"/>
  <c r="H67" i="1"/>
  <c r="M67" i="1"/>
  <c r="K67" i="1"/>
  <c r="I67" i="1"/>
  <c r="L67" i="1"/>
  <c r="J69" i="3"/>
  <c r="N67" i="1"/>
  <c r="R67" i="1"/>
  <c r="S67" i="1"/>
  <c r="P67" i="1"/>
  <c r="O67" i="1"/>
  <c r="Q67" i="1"/>
  <c r="J70" i="3" l="1"/>
  <c r="P68" i="1"/>
  <c r="R68" i="1"/>
  <c r="O68" i="1"/>
  <c r="N68" i="1"/>
  <c r="S68" i="1"/>
  <c r="Q68" i="1"/>
  <c r="I70" i="3"/>
  <c r="H68" i="1"/>
  <c r="L68" i="1"/>
  <c r="M68" i="1"/>
  <c r="J68" i="1"/>
  <c r="I68" i="1"/>
  <c r="K68" i="1"/>
  <c r="I71" i="3" l="1"/>
  <c r="J69" i="1"/>
  <c r="L69" i="1"/>
  <c r="I69" i="1"/>
  <c r="M69" i="1"/>
  <c r="H69" i="1"/>
  <c r="K69" i="1"/>
  <c r="J71" i="3"/>
  <c r="N69" i="1"/>
  <c r="R69" i="1"/>
  <c r="Q69" i="1"/>
  <c r="O69" i="1"/>
  <c r="S69" i="1"/>
  <c r="P69" i="1"/>
  <c r="J72" i="3" l="1"/>
  <c r="P70" i="1"/>
  <c r="Q70" i="1"/>
  <c r="N70" i="1"/>
  <c r="S70" i="1"/>
  <c r="R70" i="1"/>
  <c r="O70" i="1"/>
  <c r="I72" i="3"/>
  <c r="H70" i="1"/>
  <c r="L70" i="1"/>
  <c r="K70" i="1"/>
  <c r="I70" i="1"/>
  <c r="M70" i="1"/>
  <c r="J70" i="1"/>
  <c r="I73" i="3" l="1"/>
  <c r="J71" i="1"/>
  <c r="K71" i="1"/>
  <c r="H71" i="1"/>
  <c r="M71" i="1"/>
  <c r="L71" i="1"/>
  <c r="I71" i="1"/>
  <c r="J73" i="3"/>
  <c r="N71" i="1"/>
  <c r="R71" i="1"/>
  <c r="P71" i="1"/>
  <c r="S71" i="1"/>
  <c r="Q71" i="1"/>
  <c r="O71" i="1"/>
  <c r="J74" i="3" l="1"/>
  <c r="P72" i="1"/>
  <c r="O72" i="1"/>
  <c r="R72" i="1"/>
  <c r="Q72" i="1"/>
  <c r="N72" i="1"/>
  <c r="S72" i="1"/>
  <c r="I74" i="3"/>
  <c r="H72" i="1"/>
  <c r="L72" i="1"/>
  <c r="J72" i="1"/>
  <c r="M72" i="1"/>
  <c r="I72" i="1"/>
  <c r="K72" i="1"/>
  <c r="I75" i="3" l="1"/>
  <c r="J73" i="1"/>
  <c r="I73" i="1"/>
  <c r="L73" i="1"/>
  <c r="K73" i="1"/>
  <c r="H73" i="1"/>
  <c r="M73" i="1"/>
  <c r="J75" i="3"/>
  <c r="N73" i="1"/>
  <c r="R73" i="1"/>
  <c r="O73" i="1"/>
  <c r="Q73" i="1"/>
  <c r="P73" i="1"/>
  <c r="S73" i="1"/>
  <c r="J76" i="3" l="1"/>
  <c r="P74" i="1"/>
  <c r="N74" i="1"/>
  <c r="S74" i="1"/>
  <c r="Q74" i="1"/>
  <c r="O74" i="1"/>
  <c r="R74" i="1"/>
  <c r="I76" i="3"/>
  <c r="H74" i="1"/>
  <c r="L74" i="1"/>
  <c r="I74" i="1"/>
  <c r="K74" i="1"/>
  <c r="J74" i="1"/>
  <c r="M74" i="1"/>
  <c r="I77" i="3" l="1"/>
  <c r="J75" i="1"/>
  <c r="H75" i="1"/>
  <c r="M75" i="1"/>
  <c r="K75" i="1"/>
  <c r="I75" i="1"/>
  <c r="L75" i="1"/>
  <c r="J77" i="3"/>
  <c r="N75" i="1"/>
  <c r="R75" i="1"/>
  <c r="S75" i="1"/>
  <c r="P75" i="1"/>
  <c r="O75" i="1"/>
  <c r="Q75" i="1"/>
  <c r="J78" i="3" l="1"/>
  <c r="P76" i="1"/>
  <c r="R76" i="1"/>
  <c r="O76" i="1"/>
  <c r="S76" i="1"/>
  <c r="N76" i="1"/>
  <c r="Q76" i="1"/>
  <c r="I78" i="3"/>
  <c r="H76" i="1"/>
  <c r="L76" i="1"/>
  <c r="M76" i="1"/>
  <c r="J76" i="1"/>
  <c r="I76" i="1"/>
  <c r="K76" i="1"/>
  <c r="I79" i="3" l="1"/>
  <c r="J77" i="1"/>
  <c r="L77" i="1"/>
  <c r="I77" i="1"/>
  <c r="H77" i="1"/>
  <c r="M77" i="1"/>
  <c r="K77" i="1"/>
  <c r="J79" i="3"/>
  <c r="N77" i="1"/>
  <c r="R77" i="1"/>
  <c r="Q77" i="1"/>
  <c r="O77" i="1"/>
  <c r="S77" i="1"/>
  <c r="P77" i="1"/>
  <c r="J80" i="3" l="1"/>
  <c r="P78" i="1"/>
  <c r="Q78" i="1"/>
  <c r="N78" i="1"/>
  <c r="S78" i="1"/>
  <c r="R78" i="1"/>
  <c r="O78" i="1"/>
  <c r="I80" i="3"/>
  <c r="H78" i="1"/>
  <c r="L78" i="1"/>
  <c r="K78" i="1"/>
  <c r="I78" i="1"/>
  <c r="M78" i="1"/>
  <c r="J78" i="1"/>
  <c r="I81" i="3" l="1"/>
  <c r="J79" i="1"/>
  <c r="K79" i="1"/>
  <c r="H79" i="1"/>
  <c r="M79" i="1"/>
  <c r="L79" i="1"/>
  <c r="I79" i="1"/>
  <c r="J81" i="3"/>
  <c r="N79" i="1"/>
  <c r="R79" i="1"/>
  <c r="P79" i="1"/>
  <c r="S79" i="1"/>
  <c r="Q79" i="1"/>
  <c r="O79" i="1"/>
  <c r="J82" i="3" l="1"/>
  <c r="P80" i="1"/>
  <c r="O80" i="1"/>
  <c r="R80" i="1"/>
  <c r="Q80" i="1"/>
  <c r="N80" i="1"/>
  <c r="S80" i="1"/>
  <c r="I82" i="3"/>
  <c r="H80" i="1"/>
  <c r="L80" i="1"/>
  <c r="J80" i="1"/>
  <c r="M80" i="1"/>
  <c r="K80" i="1"/>
  <c r="I80" i="1"/>
  <c r="I83" i="3" l="1"/>
  <c r="J81" i="1"/>
  <c r="I81" i="1"/>
  <c r="L81" i="1"/>
  <c r="H81" i="1"/>
  <c r="K81" i="1"/>
  <c r="M81" i="1"/>
  <c r="J83" i="3"/>
  <c r="N81" i="1"/>
  <c r="R81" i="1"/>
  <c r="O81" i="1"/>
  <c r="Q81" i="1"/>
  <c r="P81" i="1"/>
  <c r="S81" i="1"/>
  <c r="J84" i="3" l="1"/>
  <c r="P82" i="1"/>
  <c r="N82" i="1"/>
  <c r="S82" i="1"/>
  <c r="Q82" i="1"/>
  <c r="O82" i="1"/>
  <c r="R82" i="1"/>
  <c r="I84" i="3"/>
  <c r="H82" i="1"/>
  <c r="L82" i="1"/>
  <c r="I82" i="1"/>
  <c r="K82" i="1"/>
  <c r="J82" i="1"/>
  <c r="M82" i="1"/>
  <c r="I85" i="3" l="1"/>
  <c r="J83" i="1"/>
  <c r="H83" i="1"/>
  <c r="M83" i="1"/>
  <c r="K83" i="1"/>
  <c r="I83" i="1"/>
  <c r="L83" i="1"/>
  <c r="J85" i="3"/>
  <c r="N83" i="1"/>
  <c r="R83" i="1"/>
  <c r="S83" i="1"/>
  <c r="P83" i="1"/>
  <c r="O83" i="1"/>
  <c r="Q83" i="1"/>
  <c r="J86" i="3" l="1"/>
  <c r="P84" i="1"/>
  <c r="R84" i="1"/>
  <c r="O84" i="1"/>
  <c r="N84" i="1"/>
  <c r="S84" i="1"/>
  <c r="Q84" i="1"/>
  <c r="I86" i="3"/>
  <c r="H84" i="1"/>
  <c r="L84" i="1"/>
  <c r="M84" i="1"/>
  <c r="J84" i="1"/>
  <c r="I84" i="1"/>
  <c r="K84" i="1"/>
  <c r="I87" i="3" l="1"/>
  <c r="J85" i="1"/>
  <c r="I85" i="1"/>
  <c r="L85" i="1"/>
  <c r="M85" i="1"/>
  <c r="H85" i="1"/>
  <c r="K85" i="1"/>
  <c r="J87" i="3"/>
  <c r="N85" i="1"/>
  <c r="R85" i="1"/>
  <c r="Q85" i="1"/>
  <c r="O85" i="1"/>
  <c r="S85" i="1"/>
  <c r="P85" i="1"/>
  <c r="J88" i="3" l="1"/>
  <c r="P86" i="1"/>
  <c r="Q86" i="1"/>
  <c r="N86" i="1"/>
  <c r="S86" i="1"/>
  <c r="R86" i="1"/>
  <c r="O86" i="1"/>
  <c r="I88" i="3"/>
  <c r="H86" i="1"/>
  <c r="L86" i="1"/>
  <c r="I86" i="1"/>
  <c r="M86" i="1"/>
  <c r="J86" i="1"/>
  <c r="K86" i="1"/>
  <c r="I89" i="3" l="1"/>
  <c r="J87" i="1"/>
  <c r="H87" i="1"/>
  <c r="M87" i="1"/>
  <c r="K87" i="1"/>
  <c r="L87" i="1"/>
  <c r="I87" i="1"/>
  <c r="J89" i="3"/>
  <c r="N87" i="1"/>
  <c r="R87" i="1"/>
  <c r="P87" i="1"/>
  <c r="S87" i="1"/>
  <c r="Q87" i="1"/>
  <c r="O87" i="1"/>
  <c r="J90" i="3" l="1"/>
  <c r="P88" i="1"/>
  <c r="O88" i="1"/>
  <c r="R88" i="1"/>
  <c r="Q88" i="1"/>
  <c r="N88" i="1"/>
  <c r="S88" i="1"/>
  <c r="I90" i="3"/>
  <c r="H88" i="1"/>
  <c r="L88" i="1"/>
  <c r="M88" i="1"/>
  <c r="I88" i="1"/>
  <c r="J88" i="1"/>
  <c r="K88" i="1"/>
  <c r="I91" i="3" l="1"/>
  <c r="J89" i="1"/>
  <c r="L89" i="1"/>
  <c r="I89" i="1"/>
  <c r="M89" i="1"/>
  <c r="H89" i="1"/>
  <c r="K89" i="1"/>
  <c r="J91" i="3"/>
  <c r="N89" i="1"/>
  <c r="R89" i="1"/>
  <c r="O89" i="1"/>
  <c r="Q89" i="1"/>
  <c r="P89" i="1"/>
  <c r="S89" i="1"/>
  <c r="P90" i="1" l="1"/>
  <c r="N90" i="1"/>
  <c r="S90" i="1"/>
  <c r="Q90" i="1"/>
  <c r="O90" i="1"/>
  <c r="R90" i="1"/>
  <c r="H90" i="1"/>
  <c r="L90" i="1"/>
  <c r="K90" i="1"/>
  <c r="J90" i="1"/>
  <c r="M90" i="1"/>
  <c r="I90" i="1"/>
</calcChain>
</file>

<file path=xl/sharedStrings.xml><?xml version="1.0" encoding="utf-8"?>
<sst xmlns="http://schemas.openxmlformats.org/spreadsheetml/2006/main" count="49" uniqueCount="35">
  <si>
    <t>BaseLine</t>
  </si>
  <si>
    <t>YCU</t>
  </si>
  <si>
    <t>YCD</t>
  </si>
  <si>
    <t>France</t>
  </si>
  <si>
    <t>Country</t>
  </si>
  <si>
    <t>1Y</t>
  </si>
  <si>
    <t>2Y</t>
  </si>
  <si>
    <t>5Y</t>
  </si>
  <si>
    <t>10Y</t>
  </si>
  <si>
    <t>20Y</t>
  </si>
  <si>
    <t>30Y</t>
  </si>
  <si>
    <t>AAA</t>
  </si>
  <si>
    <t>AA</t>
  </si>
  <si>
    <t>A</t>
  </si>
  <si>
    <t>BBB</t>
  </si>
  <si>
    <t>BB</t>
  </si>
  <si>
    <t>B</t>
  </si>
  <si>
    <t>CCC</t>
  </si>
  <si>
    <t>Non-financial</t>
  </si>
  <si>
    <t>Financial</t>
  </si>
  <si>
    <t>Corpo EU</t>
  </si>
  <si>
    <t>Gouv FR</t>
  </si>
  <si>
    <t>Equity EU</t>
  </si>
  <si>
    <t>Stocks</t>
  </si>
  <si>
    <t>RE resid</t>
  </si>
  <si>
    <t>RE com</t>
  </si>
  <si>
    <t>EU</t>
  </si>
  <si>
    <t>Others</t>
  </si>
  <si>
    <t>UP</t>
  </si>
  <si>
    <t>DOWN</t>
  </si>
  <si>
    <t>SCR shocks</t>
  </si>
  <si>
    <t>Interpolation</t>
  </si>
  <si>
    <t>ecart</t>
  </si>
  <si>
    <t>UP decal</t>
  </si>
  <si>
    <t>DOWN decal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</si>
</sst>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0.0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3" borderId="0" xfId="1" applyNumberFormat="1" applyFont="1" applyFill="1"/>
    <xf numFmtId="164" fontId="0" fillId="3" borderId="1" xfId="1" applyNumberFormat="1" applyFont="1" applyFill="1" applyBorder="1"/>
    <xf numFmtId="0" fontId="2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2" borderId="3" xfId="0" applyFont="1" applyFill="1" applyBorder="1"/>
    <xf numFmtId="1" fontId="5" fillId="2" borderId="3" xfId="0" applyNumberFormat="1" applyFont="1" applyFill="1" applyBorder="1" applyAlignment="1">
      <alignment horizontal="center" vertical="center"/>
    </xf>
    <xf numFmtId="9" fontId="4" fillId="2" borderId="3" xfId="1" applyFont="1" applyFill="1" applyBorder="1"/>
    <xf numFmtId="0" fontId="6" fillId="0" borderId="0" xfId="0" applyFont="1"/>
    <xf numFmtId="0" fontId="0" fillId="0" borderId="3" xfId="0" applyBorder="1" applyAlignment="1">
      <alignment horizontal="left"/>
    </xf>
    <xf numFmtId="1" fontId="0" fillId="0" borderId="3" xfId="0" applyNumberForma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0" fillId="5" borderId="0" xfId="0" applyFill="1"/>
    <xf numFmtId="165" fontId="0" fillId="5" borderId="0" xfId="0" applyNumberFormat="1" applyFill="1"/>
    <xf numFmtId="0" fontId="0" fillId="0" borderId="3" xfId="0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RFR!$B$1</c:f>
              <c:strCache>
                <c:ptCount val="1"/>
                <c:pt idx="0">
                  <c:v>BaseLine</c:v>
                </c:pt>
              </c:strCache>
            </c:strRef>
          </c:tx>
          <c:marker>
            <c:symbol val="none"/>
          </c:marker>
          <c:val>
            <c:numRef>
              <c:f>RFR!$B$2:$B$151</c:f>
              <c:numCache>
                <c:formatCode>0\.000%</c:formatCode>
                <c:ptCount val="150"/>
                <c:pt idx="0">
                  <c:v>-3.5799999999999998E-3</c:v>
                </c:pt>
                <c:pt idx="1">
                  <c:v>-2.5000000000000001E-3</c:v>
                </c:pt>
                <c:pt idx="2">
                  <c:v>-8.8000000000000003E-4</c:v>
                </c:pt>
                <c:pt idx="3">
                  <c:v>6.8999999999999997E-4</c:v>
                </c:pt>
                <c:pt idx="4">
                  <c:v>2.0899999999999998E-3</c:v>
                </c:pt>
                <c:pt idx="5">
                  <c:v>3.47E-3</c:v>
                </c:pt>
                <c:pt idx="6">
                  <c:v>4.6899999999999997E-3</c:v>
                </c:pt>
                <c:pt idx="7">
                  <c:v>5.8500000000000002E-3</c:v>
                </c:pt>
                <c:pt idx="8">
                  <c:v>6.9499999999999996E-3</c:v>
                </c:pt>
                <c:pt idx="9">
                  <c:v>8.0199999999999994E-3</c:v>
                </c:pt>
                <c:pt idx="10">
                  <c:v>8.9700000000000005E-3</c:v>
                </c:pt>
                <c:pt idx="11">
                  <c:v>9.8200000000000006E-3</c:v>
                </c:pt>
                <c:pt idx="12">
                  <c:v>1.059E-2</c:v>
                </c:pt>
                <c:pt idx="13">
                  <c:v>1.125E-2</c:v>
                </c:pt>
                <c:pt idx="14">
                  <c:v>1.1769999999999999E-2</c:v>
                </c:pt>
                <c:pt idx="15">
                  <c:v>1.217E-2</c:v>
                </c:pt>
                <c:pt idx="16">
                  <c:v>1.2489999999999999E-2</c:v>
                </c:pt>
                <c:pt idx="17">
                  <c:v>1.2800000000000001E-2</c:v>
                </c:pt>
                <c:pt idx="18">
                  <c:v>1.316E-2</c:v>
                </c:pt>
                <c:pt idx="19">
                  <c:v>1.357E-2</c:v>
                </c:pt>
                <c:pt idx="20">
                  <c:v>1.4080000000000001E-2</c:v>
                </c:pt>
                <c:pt idx="21">
                  <c:v>1.464E-2</c:v>
                </c:pt>
                <c:pt idx="22">
                  <c:v>1.524E-2</c:v>
                </c:pt>
                <c:pt idx="23">
                  <c:v>1.5859999999999999E-2</c:v>
                </c:pt>
                <c:pt idx="24">
                  <c:v>1.6490000000000001E-2</c:v>
                </c:pt>
                <c:pt idx="25">
                  <c:v>1.7129999999999999E-2</c:v>
                </c:pt>
                <c:pt idx="26">
                  <c:v>1.7749999999999998E-2</c:v>
                </c:pt>
                <c:pt idx="27">
                  <c:v>1.8370000000000001E-2</c:v>
                </c:pt>
                <c:pt idx="28">
                  <c:v>1.8970000000000001E-2</c:v>
                </c:pt>
                <c:pt idx="29">
                  <c:v>1.9560000000000001E-2</c:v>
                </c:pt>
                <c:pt idx="30">
                  <c:v>2.0129999999999999E-2</c:v>
                </c:pt>
                <c:pt idx="31">
                  <c:v>2.069E-2</c:v>
                </c:pt>
                <c:pt idx="32">
                  <c:v>2.1219999999999999E-2</c:v>
                </c:pt>
                <c:pt idx="33">
                  <c:v>2.1739999999999999E-2</c:v>
                </c:pt>
                <c:pt idx="34">
                  <c:v>2.223E-2</c:v>
                </c:pt>
                <c:pt idx="35">
                  <c:v>2.2710000000000001E-2</c:v>
                </c:pt>
                <c:pt idx="36">
                  <c:v>2.317E-2</c:v>
                </c:pt>
                <c:pt idx="37">
                  <c:v>2.3619999999999999E-2</c:v>
                </c:pt>
                <c:pt idx="38">
                  <c:v>2.4039999999999999E-2</c:v>
                </c:pt>
                <c:pt idx="39">
                  <c:v>2.445E-2</c:v>
                </c:pt>
                <c:pt idx="40">
                  <c:v>2.4850000000000001E-2</c:v>
                </c:pt>
                <c:pt idx="41">
                  <c:v>2.5229999999999999E-2</c:v>
                </c:pt>
                <c:pt idx="42">
                  <c:v>2.5590000000000002E-2</c:v>
                </c:pt>
                <c:pt idx="43">
                  <c:v>2.5940000000000001E-2</c:v>
                </c:pt>
                <c:pt idx="44">
                  <c:v>2.6280000000000001E-2</c:v>
                </c:pt>
                <c:pt idx="45">
                  <c:v>2.6599999999999999E-2</c:v>
                </c:pt>
                <c:pt idx="46">
                  <c:v>2.6919999999999999E-2</c:v>
                </c:pt>
                <c:pt idx="47">
                  <c:v>2.7220000000000001E-2</c:v>
                </c:pt>
                <c:pt idx="48">
                  <c:v>2.751E-2</c:v>
                </c:pt>
                <c:pt idx="49">
                  <c:v>2.7789999999999999E-2</c:v>
                </c:pt>
                <c:pt idx="50">
                  <c:v>2.8060000000000002E-2</c:v>
                </c:pt>
                <c:pt idx="51">
                  <c:v>2.8320000000000001E-2</c:v>
                </c:pt>
                <c:pt idx="52">
                  <c:v>2.8570000000000002E-2</c:v>
                </c:pt>
                <c:pt idx="53">
                  <c:v>2.8809999999999999E-2</c:v>
                </c:pt>
                <c:pt idx="54">
                  <c:v>2.9049999999999999E-2</c:v>
                </c:pt>
                <c:pt idx="55">
                  <c:v>2.928E-2</c:v>
                </c:pt>
                <c:pt idx="56">
                  <c:v>2.9489999999999999E-2</c:v>
                </c:pt>
                <c:pt idx="57">
                  <c:v>2.971E-2</c:v>
                </c:pt>
                <c:pt idx="58">
                  <c:v>2.9909999999999999E-2</c:v>
                </c:pt>
                <c:pt idx="59">
                  <c:v>3.0110000000000001E-2</c:v>
                </c:pt>
                <c:pt idx="60">
                  <c:v>3.0300000000000001E-2</c:v>
                </c:pt>
                <c:pt idx="61">
                  <c:v>3.049E-2</c:v>
                </c:pt>
                <c:pt idx="62">
                  <c:v>3.0669999999999999E-2</c:v>
                </c:pt>
                <c:pt idx="63">
                  <c:v>3.0839999999999999E-2</c:v>
                </c:pt>
                <c:pt idx="64">
                  <c:v>3.1009999999999999E-2</c:v>
                </c:pt>
                <c:pt idx="65">
                  <c:v>3.1179999999999999E-2</c:v>
                </c:pt>
                <c:pt idx="66">
                  <c:v>3.134E-2</c:v>
                </c:pt>
                <c:pt idx="67">
                  <c:v>3.1489999999999997E-2</c:v>
                </c:pt>
                <c:pt idx="68">
                  <c:v>3.1640000000000001E-2</c:v>
                </c:pt>
                <c:pt idx="69">
                  <c:v>3.1789999999999999E-2</c:v>
                </c:pt>
                <c:pt idx="70">
                  <c:v>3.193E-2</c:v>
                </c:pt>
                <c:pt idx="71">
                  <c:v>3.2070000000000001E-2</c:v>
                </c:pt>
                <c:pt idx="72">
                  <c:v>3.2210000000000003E-2</c:v>
                </c:pt>
                <c:pt idx="73">
                  <c:v>3.2340000000000001E-2</c:v>
                </c:pt>
                <c:pt idx="74">
                  <c:v>3.2469999999999999E-2</c:v>
                </c:pt>
                <c:pt idx="75">
                  <c:v>3.2590000000000001E-2</c:v>
                </c:pt>
                <c:pt idx="76">
                  <c:v>3.2710000000000003E-2</c:v>
                </c:pt>
                <c:pt idx="77">
                  <c:v>3.2829999999999998E-2</c:v>
                </c:pt>
                <c:pt idx="78">
                  <c:v>3.295E-2</c:v>
                </c:pt>
                <c:pt idx="79">
                  <c:v>3.3059999999999999E-2</c:v>
                </c:pt>
                <c:pt idx="80">
                  <c:v>3.3169999999999998E-2</c:v>
                </c:pt>
                <c:pt idx="81">
                  <c:v>3.3279999999999997E-2</c:v>
                </c:pt>
                <c:pt idx="82">
                  <c:v>3.338E-2</c:v>
                </c:pt>
                <c:pt idx="83">
                  <c:v>3.3480000000000003E-2</c:v>
                </c:pt>
                <c:pt idx="84">
                  <c:v>3.3579999999999999E-2</c:v>
                </c:pt>
                <c:pt idx="85">
                  <c:v>3.3680000000000002E-2</c:v>
                </c:pt>
                <c:pt idx="86">
                  <c:v>3.3779999999999998E-2</c:v>
                </c:pt>
                <c:pt idx="87">
                  <c:v>3.3869999999999997E-2</c:v>
                </c:pt>
                <c:pt idx="88">
                  <c:v>3.3959999999999997E-2</c:v>
                </c:pt>
                <c:pt idx="89">
                  <c:v>3.4049999999999997E-2</c:v>
                </c:pt>
                <c:pt idx="90">
                  <c:v>3.4139999999999997E-2</c:v>
                </c:pt>
                <c:pt idx="91">
                  <c:v>3.422E-2</c:v>
                </c:pt>
                <c:pt idx="92">
                  <c:v>3.4299999999999997E-2</c:v>
                </c:pt>
                <c:pt idx="93">
                  <c:v>3.4389999999999997E-2</c:v>
                </c:pt>
                <c:pt idx="94">
                  <c:v>3.4470000000000001E-2</c:v>
                </c:pt>
                <c:pt idx="95">
                  <c:v>3.4540000000000001E-2</c:v>
                </c:pt>
                <c:pt idx="96">
                  <c:v>3.4619999999999998E-2</c:v>
                </c:pt>
                <c:pt idx="97">
                  <c:v>3.4700000000000002E-2</c:v>
                </c:pt>
                <c:pt idx="98">
                  <c:v>3.4770000000000002E-2</c:v>
                </c:pt>
                <c:pt idx="99">
                  <c:v>3.4840000000000003E-2</c:v>
                </c:pt>
                <c:pt idx="100">
                  <c:v>3.4909999999999997E-2</c:v>
                </c:pt>
                <c:pt idx="101">
                  <c:v>3.4979999999999997E-2</c:v>
                </c:pt>
                <c:pt idx="102">
                  <c:v>3.5049999999999998E-2</c:v>
                </c:pt>
                <c:pt idx="103">
                  <c:v>3.5119999999999998E-2</c:v>
                </c:pt>
                <c:pt idx="104">
                  <c:v>3.5180000000000003E-2</c:v>
                </c:pt>
                <c:pt idx="105">
                  <c:v>3.5249999999999997E-2</c:v>
                </c:pt>
                <c:pt idx="106">
                  <c:v>3.5310000000000001E-2</c:v>
                </c:pt>
                <c:pt idx="107">
                  <c:v>3.5369999999999999E-2</c:v>
                </c:pt>
                <c:pt idx="108">
                  <c:v>3.5430000000000003E-2</c:v>
                </c:pt>
                <c:pt idx="109">
                  <c:v>3.5490000000000001E-2</c:v>
                </c:pt>
                <c:pt idx="110">
                  <c:v>3.5549999999999998E-2</c:v>
                </c:pt>
                <c:pt idx="111">
                  <c:v>3.5610000000000003E-2</c:v>
                </c:pt>
                <c:pt idx="112">
                  <c:v>3.5659999999999997E-2</c:v>
                </c:pt>
                <c:pt idx="113">
                  <c:v>3.5720000000000002E-2</c:v>
                </c:pt>
                <c:pt idx="114">
                  <c:v>3.5770000000000003E-2</c:v>
                </c:pt>
                <c:pt idx="115">
                  <c:v>3.5830000000000001E-2</c:v>
                </c:pt>
                <c:pt idx="116">
                  <c:v>3.5880000000000002E-2</c:v>
                </c:pt>
                <c:pt idx="117">
                  <c:v>3.5929999999999997E-2</c:v>
                </c:pt>
                <c:pt idx="118">
                  <c:v>3.5979999999999998E-2</c:v>
                </c:pt>
                <c:pt idx="119">
                  <c:v>3.603E-2</c:v>
                </c:pt>
                <c:pt idx="120">
                  <c:v>3.6080000000000001E-2</c:v>
                </c:pt>
                <c:pt idx="121">
                  <c:v>3.6130000000000002E-2</c:v>
                </c:pt>
                <c:pt idx="122">
                  <c:v>3.6179999999999997E-2</c:v>
                </c:pt>
                <c:pt idx="123">
                  <c:v>3.6220000000000002E-2</c:v>
                </c:pt>
                <c:pt idx="124">
                  <c:v>3.6269999999999997E-2</c:v>
                </c:pt>
                <c:pt idx="125">
                  <c:v>3.6310000000000002E-2</c:v>
                </c:pt>
                <c:pt idx="126">
                  <c:v>3.6360000000000003E-2</c:v>
                </c:pt>
                <c:pt idx="127">
                  <c:v>3.6400000000000002E-2</c:v>
                </c:pt>
                <c:pt idx="128">
                  <c:v>3.6450000000000003E-2</c:v>
                </c:pt>
                <c:pt idx="129">
                  <c:v>3.6490000000000002E-2</c:v>
                </c:pt>
                <c:pt idx="130">
                  <c:v>3.653E-2</c:v>
                </c:pt>
                <c:pt idx="131">
                  <c:v>3.6569999999999998E-2</c:v>
                </c:pt>
                <c:pt idx="132">
                  <c:v>3.6609999999999997E-2</c:v>
                </c:pt>
                <c:pt idx="133">
                  <c:v>3.6650000000000002E-2</c:v>
                </c:pt>
                <c:pt idx="134">
                  <c:v>3.669E-2</c:v>
                </c:pt>
                <c:pt idx="135">
                  <c:v>3.6729999999999999E-2</c:v>
                </c:pt>
                <c:pt idx="136">
                  <c:v>3.6769999999999997E-2</c:v>
                </c:pt>
                <c:pt idx="137">
                  <c:v>3.6810000000000002E-2</c:v>
                </c:pt>
                <c:pt idx="138">
                  <c:v>3.6839999999999998E-2</c:v>
                </c:pt>
                <c:pt idx="139">
                  <c:v>3.6880000000000003E-2</c:v>
                </c:pt>
                <c:pt idx="140">
                  <c:v>3.6920000000000001E-2</c:v>
                </c:pt>
                <c:pt idx="141">
                  <c:v>3.6949999999999997E-2</c:v>
                </c:pt>
                <c:pt idx="142">
                  <c:v>3.6990000000000002E-2</c:v>
                </c:pt>
                <c:pt idx="143">
                  <c:v>3.7019999999999997E-2</c:v>
                </c:pt>
                <c:pt idx="144">
                  <c:v>3.7060000000000003E-2</c:v>
                </c:pt>
                <c:pt idx="145">
                  <c:v>3.7089999999999998E-2</c:v>
                </c:pt>
                <c:pt idx="146">
                  <c:v>3.712E-2</c:v>
                </c:pt>
                <c:pt idx="147">
                  <c:v>3.7159999999999999E-2</c:v>
                </c:pt>
                <c:pt idx="148">
                  <c:v>3.7190000000000001E-2</c:v>
                </c:pt>
                <c:pt idx="149">
                  <c:v>3.7220000000000003E-2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RFR!$C$1</c:f>
              <c:strCache>
                <c:ptCount val="1"/>
                <c:pt idx="0">
                  <c:v>YCU</c:v>
                </c:pt>
              </c:strCache>
            </c:strRef>
          </c:tx>
          <c:marker>
            <c:symbol val="none"/>
          </c:marker>
          <c:val>
            <c:numRef>
              <c:f>RFR!$C$2:$C$151</c:f>
              <c:numCache>
                <c:formatCode>0\.000%</c:formatCode>
                <c:ptCount val="150"/>
                <c:pt idx="0">
                  <c:v>1.2999999999999999E-3</c:v>
                </c:pt>
                <c:pt idx="1">
                  <c:v>6.1999999999999998E-3</c:v>
                </c:pt>
                <c:pt idx="2">
                  <c:v>8.94E-3</c:v>
                </c:pt>
                <c:pt idx="3">
                  <c:v>1.0670000000000001E-2</c:v>
                </c:pt>
                <c:pt idx="4">
                  <c:v>1.204E-2</c:v>
                </c:pt>
                <c:pt idx="5">
                  <c:v>1.324E-2</c:v>
                </c:pt>
                <c:pt idx="6">
                  <c:v>1.43E-2</c:v>
                </c:pt>
                <c:pt idx="7">
                  <c:v>1.521E-2</c:v>
                </c:pt>
                <c:pt idx="8">
                  <c:v>1.5990000000000001E-2</c:v>
                </c:pt>
                <c:pt idx="9">
                  <c:v>1.6629999999999999E-2</c:v>
                </c:pt>
                <c:pt idx="10">
                  <c:v>1.7149999999999999E-2</c:v>
                </c:pt>
                <c:pt idx="11">
                  <c:v>1.7590000000000001E-2</c:v>
                </c:pt>
                <c:pt idx="12">
                  <c:v>1.7989999999999999E-2</c:v>
                </c:pt>
                <c:pt idx="13">
                  <c:v>1.8360000000000001E-2</c:v>
                </c:pt>
                <c:pt idx="14">
                  <c:v>1.8720000000000001E-2</c:v>
                </c:pt>
                <c:pt idx="15">
                  <c:v>1.9089999999999999E-2</c:v>
                </c:pt>
                <c:pt idx="16">
                  <c:v>1.9460000000000002E-2</c:v>
                </c:pt>
                <c:pt idx="17">
                  <c:v>1.984E-2</c:v>
                </c:pt>
                <c:pt idx="18">
                  <c:v>2.0250000000000001E-2</c:v>
                </c:pt>
                <c:pt idx="19">
                  <c:v>2.0670000000000001E-2</c:v>
                </c:pt>
                <c:pt idx="20">
                  <c:v>2.112E-2</c:v>
                </c:pt>
                <c:pt idx="21">
                  <c:v>2.1579999999999998E-2</c:v>
                </c:pt>
                <c:pt idx="22">
                  <c:v>2.205E-2</c:v>
                </c:pt>
                <c:pt idx="23">
                  <c:v>2.2519999999999998E-2</c:v>
                </c:pt>
                <c:pt idx="24">
                  <c:v>2.298E-2</c:v>
                </c:pt>
                <c:pt idx="25">
                  <c:v>2.3429999999999999E-2</c:v>
                </c:pt>
                <c:pt idx="26">
                  <c:v>2.3869999999999999E-2</c:v>
                </c:pt>
                <c:pt idx="27">
                  <c:v>2.4309999999999998E-2</c:v>
                </c:pt>
                <c:pt idx="28">
                  <c:v>2.4729999999999999E-2</c:v>
                </c:pt>
                <c:pt idx="29">
                  <c:v>2.513E-2</c:v>
                </c:pt>
                <c:pt idx="30">
                  <c:v>2.5520000000000001E-2</c:v>
                </c:pt>
                <c:pt idx="31">
                  <c:v>2.5899999999999999E-2</c:v>
                </c:pt>
                <c:pt idx="32">
                  <c:v>2.6270000000000002E-2</c:v>
                </c:pt>
                <c:pt idx="33">
                  <c:v>2.6620000000000001E-2</c:v>
                </c:pt>
                <c:pt idx="34">
                  <c:v>2.6960000000000001E-2</c:v>
                </c:pt>
                <c:pt idx="35">
                  <c:v>2.7289999999999998E-2</c:v>
                </c:pt>
                <c:pt idx="36">
                  <c:v>2.76E-2</c:v>
                </c:pt>
                <c:pt idx="37">
                  <c:v>2.7900000000000001E-2</c:v>
                </c:pt>
                <c:pt idx="38">
                  <c:v>2.819E-2</c:v>
                </c:pt>
                <c:pt idx="39">
                  <c:v>2.8469999999999999E-2</c:v>
                </c:pt>
                <c:pt idx="40">
                  <c:v>2.8740000000000002E-2</c:v>
                </c:pt>
                <c:pt idx="41">
                  <c:v>2.8989999999999998E-2</c:v>
                </c:pt>
                <c:pt idx="42">
                  <c:v>2.9239999999999999E-2</c:v>
                </c:pt>
                <c:pt idx="43">
                  <c:v>2.9479999999999999E-2</c:v>
                </c:pt>
                <c:pt idx="44">
                  <c:v>2.971E-2</c:v>
                </c:pt>
                <c:pt idx="45">
                  <c:v>2.9929999999999998E-2</c:v>
                </c:pt>
                <c:pt idx="46">
                  <c:v>3.015E-2</c:v>
                </c:pt>
                <c:pt idx="47">
                  <c:v>3.0349999999999999E-2</c:v>
                </c:pt>
                <c:pt idx="48">
                  <c:v>3.0550000000000001E-2</c:v>
                </c:pt>
                <c:pt idx="49">
                  <c:v>3.074E-2</c:v>
                </c:pt>
                <c:pt idx="50">
                  <c:v>3.0929999999999999E-2</c:v>
                </c:pt>
                <c:pt idx="51">
                  <c:v>3.1099999999999999E-2</c:v>
                </c:pt>
                <c:pt idx="52">
                  <c:v>3.1280000000000002E-2</c:v>
                </c:pt>
                <c:pt idx="53">
                  <c:v>3.1440000000000003E-2</c:v>
                </c:pt>
                <c:pt idx="54">
                  <c:v>3.1600000000000003E-2</c:v>
                </c:pt>
                <c:pt idx="55">
                  <c:v>3.1759999999999997E-2</c:v>
                </c:pt>
                <c:pt idx="56">
                  <c:v>3.1910000000000001E-2</c:v>
                </c:pt>
                <c:pt idx="57">
                  <c:v>3.2050000000000002E-2</c:v>
                </c:pt>
                <c:pt idx="58">
                  <c:v>3.2190000000000003E-2</c:v>
                </c:pt>
                <c:pt idx="59">
                  <c:v>3.2329999999999998E-2</c:v>
                </c:pt>
                <c:pt idx="60">
                  <c:v>3.2460000000000003E-2</c:v>
                </c:pt>
                <c:pt idx="61">
                  <c:v>3.2590000000000001E-2</c:v>
                </c:pt>
                <c:pt idx="62">
                  <c:v>3.2710000000000003E-2</c:v>
                </c:pt>
                <c:pt idx="63">
                  <c:v>3.2829999999999998E-2</c:v>
                </c:pt>
                <c:pt idx="64">
                  <c:v>3.295E-2</c:v>
                </c:pt>
                <c:pt idx="65">
                  <c:v>3.3059999999999999E-2</c:v>
                </c:pt>
                <c:pt idx="66">
                  <c:v>3.3169999999999998E-2</c:v>
                </c:pt>
                <c:pt idx="67">
                  <c:v>3.3279999999999997E-2</c:v>
                </c:pt>
                <c:pt idx="68">
                  <c:v>3.338E-2</c:v>
                </c:pt>
                <c:pt idx="69">
                  <c:v>3.3480000000000003E-2</c:v>
                </c:pt>
                <c:pt idx="70">
                  <c:v>3.3579999999999999E-2</c:v>
                </c:pt>
                <c:pt idx="71">
                  <c:v>3.3680000000000002E-2</c:v>
                </c:pt>
                <c:pt idx="72">
                  <c:v>3.3770000000000001E-2</c:v>
                </c:pt>
                <c:pt idx="73">
                  <c:v>3.3860000000000001E-2</c:v>
                </c:pt>
                <c:pt idx="74">
                  <c:v>3.3950000000000001E-2</c:v>
                </c:pt>
                <c:pt idx="75">
                  <c:v>3.4029999999999998E-2</c:v>
                </c:pt>
                <c:pt idx="76">
                  <c:v>3.4119999999999998E-2</c:v>
                </c:pt>
                <c:pt idx="77">
                  <c:v>3.4200000000000001E-2</c:v>
                </c:pt>
                <c:pt idx="78">
                  <c:v>3.4279999999999998E-2</c:v>
                </c:pt>
                <c:pt idx="79">
                  <c:v>3.4360000000000002E-2</c:v>
                </c:pt>
                <c:pt idx="80">
                  <c:v>3.4430000000000002E-2</c:v>
                </c:pt>
                <c:pt idx="81">
                  <c:v>3.4509999999999999E-2</c:v>
                </c:pt>
                <c:pt idx="82">
                  <c:v>3.458E-2</c:v>
                </c:pt>
                <c:pt idx="83">
                  <c:v>3.465E-2</c:v>
                </c:pt>
                <c:pt idx="84">
                  <c:v>3.4720000000000001E-2</c:v>
                </c:pt>
                <c:pt idx="85">
                  <c:v>3.4779999999999998E-2</c:v>
                </c:pt>
                <c:pt idx="86">
                  <c:v>3.4849999999999999E-2</c:v>
                </c:pt>
                <c:pt idx="87">
                  <c:v>3.4909999999999997E-2</c:v>
                </c:pt>
                <c:pt idx="88">
                  <c:v>3.4979999999999997E-2</c:v>
                </c:pt>
                <c:pt idx="89">
                  <c:v>3.5040000000000002E-2</c:v>
                </c:pt>
                <c:pt idx="90">
                  <c:v>3.5099999999999999E-2</c:v>
                </c:pt>
                <c:pt idx="91">
                  <c:v>3.5150000000000001E-2</c:v>
                </c:pt>
                <c:pt idx="92">
                  <c:v>3.5209999999999998E-2</c:v>
                </c:pt>
                <c:pt idx="93">
                  <c:v>3.5270000000000003E-2</c:v>
                </c:pt>
                <c:pt idx="94">
                  <c:v>3.5319999999999997E-2</c:v>
                </c:pt>
                <c:pt idx="95">
                  <c:v>3.5380000000000002E-2</c:v>
                </c:pt>
                <c:pt idx="96">
                  <c:v>3.5430000000000003E-2</c:v>
                </c:pt>
                <c:pt idx="97">
                  <c:v>3.5479999999999998E-2</c:v>
                </c:pt>
                <c:pt idx="98">
                  <c:v>3.5529999999999999E-2</c:v>
                </c:pt>
                <c:pt idx="99">
                  <c:v>3.5580000000000001E-2</c:v>
                </c:pt>
                <c:pt idx="100">
                  <c:v>3.5630000000000002E-2</c:v>
                </c:pt>
                <c:pt idx="101">
                  <c:v>3.5680000000000003E-2</c:v>
                </c:pt>
                <c:pt idx="102">
                  <c:v>3.5720000000000002E-2</c:v>
                </c:pt>
                <c:pt idx="103">
                  <c:v>3.5770000000000003E-2</c:v>
                </c:pt>
                <c:pt idx="104">
                  <c:v>3.5810000000000002E-2</c:v>
                </c:pt>
                <c:pt idx="105">
                  <c:v>3.5860000000000003E-2</c:v>
                </c:pt>
                <c:pt idx="106">
                  <c:v>3.5900000000000001E-2</c:v>
                </c:pt>
                <c:pt idx="107">
                  <c:v>3.594E-2</c:v>
                </c:pt>
                <c:pt idx="108">
                  <c:v>3.5990000000000001E-2</c:v>
                </c:pt>
                <c:pt idx="109">
                  <c:v>3.603E-2</c:v>
                </c:pt>
                <c:pt idx="110">
                  <c:v>3.6069999999999998E-2</c:v>
                </c:pt>
                <c:pt idx="111">
                  <c:v>3.6110000000000003E-2</c:v>
                </c:pt>
                <c:pt idx="112">
                  <c:v>3.6150000000000002E-2</c:v>
                </c:pt>
                <c:pt idx="113">
                  <c:v>3.6179999999999997E-2</c:v>
                </c:pt>
                <c:pt idx="114">
                  <c:v>3.6220000000000002E-2</c:v>
                </c:pt>
                <c:pt idx="115">
                  <c:v>3.6260000000000001E-2</c:v>
                </c:pt>
                <c:pt idx="116">
                  <c:v>3.6290000000000003E-2</c:v>
                </c:pt>
                <c:pt idx="117">
                  <c:v>3.6330000000000001E-2</c:v>
                </c:pt>
                <c:pt idx="118">
                  <c:v>3.6360000000000003E-2</c:v>
                </c:pt>
                <c:pt idx="119">
                  <c:v>3.6400000000000002E-2</c:v>
                </c:pt>
                <c:pt idx="120">
                  <c:v>3.6429999999999997E-2</c:v>
                </c:pt>
                <c:pt idx="121">
                  <c:v>3.6470000000000002E-2</c:v>
                </c:pt>
                <c:pt idx="122">
                  <c:v>3.6499999999999998E-2</c:v>
                </c:pt>
                <c:pt idx="123">
                  <c:v>3.653E-2</c:v>
                </c:pt>
                <c:pt idx="124">
                  <c:v>3.6560000000000002E-2</c:v>
                </c:pt>
                <c:pt idx="125">
                  <c:v>3.6589999999999998E-2</c:v>
                </c:pt>
                <c:pt idx="126">
                  <c:v>3.662E-2</c:v>
                </c:pt>
                <c:pt idx="127">
                  <c:v>3.6659999999999998E-2</c:v>
                </c:pt>
                <c:pt idx="128">
                  <c:v>3.6679999999999997E-2</c:v>
                </c:pt>
                <c:pt idx="129">
                  <c:v>3.671E-2</c:v>
                </c:pt>
                <c:pt idx="130">
                  <c:v>3.6740000000000002E-2</c:v>
                </c:pt>
                <c:pt idx="131">
                  <c:v>3.6769999999999997E-2</c:v>
                </c:pt>
                <c:pt idx="132">
                  <c:v>3.6799999999999999E-2</c:v>
                </c:pt>
                <c:pt idx="133">
                  <c:v>3.6830000000000002E-2</c:v>
                </c:pt>
                <c:pt idx="134">
                  <c:v>3.6850000000000001E-2</c:v>
                </c:pt>
                <c:pt idx="135">
                  <c:v>3.6880000000000003E-2</c:v>
                </c:pt>
                <c:pt idx="136">
                  <c:v>3.6909999999999998E-2</c:v>
                </c:pt>
                <c:pt idx="137">
                  <c:v>3.6929999999999998E-2</c:v>
                </c:pt>
                <c:pt idx="138">
                  <c:v>3.696E-2</c:v>
                </c:pt>
                <c:pt idx="139">
                  <c:v>3.6979999999999999E-2</c:v>
                </c:pt>
                <c:pt idx="140">
                  <c:v>3.7010000000000001E-2</c:v>
                </c:pt>
                <c:pt idx="141">
                  <c:v>3.703E-2</c:v>
                </c:pt>
                <c:pt idx="142">
                  <c:v>3.7060000000000003E-2</c:v>
                </c:pt>
                <c:pt idx="143">
                  <c:v>3.7080000000000002E-2</c:v>
                </c:pt>
                <c:pt idx="144">
                  <c:v>3.7109999999999997E-2</c:v>
                </c:pt>
                <c:pt idx="145">
                  <c:v>3.7130000000000003E-2</c:v>
                </c:pt>
                <c:pt idx="146">
                  <c:v>3.7150000000000002E-2</c:v>
                </c:pt>
                <c:pt idx="147">
                  <c:v>3.7170000000000002E-2</c:v>
                </c:pt>
                <c:pt idx="148">
                  <c:v>3.7199999999999997E-2</c:v>
                </c:pt>
                <c:pt idx="149">
                  <c:v>3.7220000000000003E-2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RFR!$D$1</c:f>
              <c:strCache>
                <c:ptCount val="1"/>
                <c:pt idx="0">
                  <c:v>YCD</c:v>
                </c:pt>
              </c:strCache>
            </c:strRef>
          </c:tx>
          <c:marker>
            <c:symbol val="none"/>
          </c:marker>
          <c:val>
            <c:numRef>
              <c:f>RFR!$D$2:$D$151</c:f>
              <c:numCache>
                <c:formatCode>0\.000%</c:formatCode>
                <c:ptCount val="150"/>
                <c:pt idx="0">
                  <c:v>-4.6899999999999997E-3</c:v>
                </c:pt>
                <c:pt idx="1">
                  <c:v>-5.2399999999999999E-3</c:v>
                </c:pt>
                <c:pt idx="2">
                  <c:v>-4.8799999999999998E-3</c:v>
                </c:pt>
                <c:pt idx="3">
                  <c:v>-4.1900000000000001E-3</c:v>
                </c:pt>
                <c:pt idx="4">
                  <c:v>-3.46E-3</c:v>
                </c:pt>
                <c:pt idx="5">
                  <c:v>-2.7599999999999999E-3</c:v>
                </c:pt>
                <c:pt idx="6">
                  <c:v>-2.0799999999999998E-3</c:v>
                </c:pt>
                <c:pt idx="7">
                  <c:v>-1.4300000000000001E-3</c:v>
                </c:pt>
                <c:pt idx="8">
                  <c:v>-7.7999999999999999E-4</c:v>
                </c:pt>
                <c:pt idx="9">
                  <c:v>-1.3999999999999999E-4</c:v>
                </c:pt>
                <c:pt idx="10">
                  <c:v>5.0000000000000001E-4</c:v>
                </c:pt>
                <c:pt idx="11">
                  <c:v>1.1299999999999999E-3</c:v>
                </c:pt>
                <c:pt idx="12">
                  <c:v>1.75E-3</c:v>
                </c:pt>
                <c:pt idx="13">
                  <c:v>2.3400000000000001E-3</c:v>
                </c:pt>
                <c:pt idx="14">
                  <c:v>2.9099999999999998E-3</c:v>
                </c:pt>
                <c:pt idx="15">
                  <c:v>3.46E-3</c:v>
                </c:pt>
                <c:pt idx="16">
                  <c:v>3.9899999999999996E-3</c:v>
                </c:pt>
                <c:pt idx="17">
                  <c:v>4.4999999999999997E-3</c:v>
                </c:pt>
                <c:pt idx="18">
                  <c:v>4.9899999999999996E-3</c:v>
                </c:pt>
                <c:pt idx="19">
                  <c:v>5.4599999999999996E-3</c:v>
                </c:pt>
                <c:pt idx="20">
                  <c:v>5.9100000000000003E-3</c:v>
                </c:pt>
                <c:pt idx="21">
                  <c:v>6.3499999999999997E-3</c:v>
                </c:pt>
                <c:pt idx="22">
                  <c:v>6.77E-3</c:v>
                </c:pt>
                <c:pt idx="23">
                  <c:v>7.1700000000000002E-3</c:v>
                </c:pt>
                <c:pt idx="24">
                  <c:v>7.5599999999999999E-3</c:v>
                </c:pt>
                <c:pt idx="25">
                  <c:v>7.9299999999999995E-3</c:v>
                </c:pt>
                <c:pt idx="26">
                  <c:v>8.2799999999999992E-3</c:v>
                </c:pt>
                <c:pt idx="27">
                  <c:v>8.6199999999999992E-3</c:v>
                </c:pt>
                <c:pt idx="28">
                  <c:v>8.94E-3</c:v>
                </c:pt>
                <c:pt idx="29">
                  <c:v>9.2499999999999995E-3</c:v>
                </c:pt>
                <c:pt idx="30">
                  <c:v>9.5499999999999995E-3</c:v>
                </c:pt>
                <c:pt idx="31">
                  <c:v>9.8300000000000002E-3</c:v>
                </c:pt>
                <c:pt idx="32">
                  <c:v>1.01E-2</c:v>
                </c:pt>
                <c:pt idx="33">
                  <c:v>1.0359999999999999E-2</c:v>
                </c:pt>
                <c:pt idx="34">
                  <c:v>1.061E-2</c:v>
                </c:pt>
                <c:pt idx="35">
                  <c:v>1.085E-2</c:v>
                </c:pt>
                <c:pt idx="36">
                  <c:v>1.108E-2</c:v>
                </c:pt>
                <c:pt idx="37">
                  <c:v>1.1299999999999999E-2</c:v>
                </c:pt>
                <c:pt idx="38">
                  <c:v>1.1509999999999999E-2</c:v>
                </c:pt>
                <c:pt idx="39">
                  <c:v>1.171E-2</c:v>
                </c:pt>
                <c:pt idx="40">
                  <c:v>1.1900000000000001E-2</c:v>
                </c:pt>
                <c:pt idx="41">
                  <c:v>1.209E-2</c:v>
                </c:pt>
                <c:pt idx="42">
                  <c:v>1.227E-2</c:v>
                </c:pt>
                <c:pt idx="43">
                  <c:v>1.244E-2</c:v>
                </c:pt>
                <c:pt idx="44">
                  <c:v>1.261E-2</c:v>
                </c:pt>
                <c:pt idx="45">
                  <c:v>1.2760000000000001E-2</c:v>
                </c:pt>
                <c:pt idx="46">
                  <c:v>1.2919999999999999E-2</c:v>
                </c:pt>
                <c:pt idx="47">
                  <c:v>1.307E-2</c:v>
                </c:pt>
                <c:pt idx="48">
                  <c:v>1.321E-2</c:v>
                </c:pt>
                <c:pt idx="49">
                  <c:v>1.3350000000000001E-2</c:v>
                </c:pt>
                <c:pt idx="50">
                  <c:v>1.3480000000000001E-2</c:v>
                </c:pt>
                <c:pt idx="51">
                  <c:v>1.3610000000000001E-2</c:v>
                </c:pt>
                <c:pt idx="52">
                  <c:v>1.3729999999999999E-2</c:v>
                </c:pt>
                <c:pt idx="53">
                  <c:v>1.3849999999999999E-2</c:v>
                </c:pt>
                <c:pt idx="54">
                  <c:v>1.397E-2</c:v>
                </c:pt>
                <c:pt idx="55">
                  <c:v>1.4080000000000001E-2</c:v>
                </c:pt>
                <c:pt idx="56">
                  <c:v>1.4189999999999999E-2</c:v>
                </c:pt>
                <c:pt idx="57">
                  <c:v>1.4290000000000001E-2</c:v>
                </c:pt>
                <c:pt idx="58">
                  <c:v>1.439E-2</c:v>
                </c:pt>
                <c:pt idx="59">
                  <c:v>1.4489999999999999E-2</c:v>
                </c:pt>
                <c:pt idx="60">
                  <c:v>1.4590000000000001E-2</c:v>
                </c:pt>
                <c:pt idx="61">
                  <c:v>1.468E-2</c:v>
                </c:pt>
                <c:pt idx="62">
                  <c:v>1.477E-2</c:v>
                </c:pt>
                <c:pt idx="63">
                  <c:v>1.485E-2</c:v>
                </c:pt>
                <c:pt idx="64">
                  <c:v>1.494E-2</c:v>
                </c:pt>
                <c:pt idx="65">
                  <c:v>1.502E-2</c:v>
                </c:pt>
                <c:pt idx="66">
                  <c:v>1.5100000000000001E-2</c:v>
                </c:pt>
                <c:pt idx="67">
                  <c:v>1.5180000000000001E-2</c:v>
                </c:pt>
                <c:pt idx="68">
                  <c:v>1.525E-2</c:v>
                </c:pt>
                <c:pt idx="69">
                  <c:v>1.532E-2</c:v>
                </c:pt>
                <c:pt idx="70">
                  <c:v>1.5389999999999999E-2</c:v>
                </c:pt>
                <c:pt idx="71">
                  <c:v>1.546E-2</c:v>
                </c:pt>
                <c:pt idx="72">
                  <c:v>1.553E-2</c:v>
                </c:pt>
                <c:pt idx="73">
                  <c:v>1.5599999999999999E-2</c:v>
                </c:pt>
                <c:pt idx="74">
                  <c:v>1.566E-2</c:v>
                </c:pt>
                <c:pt idx="75">
                  <c:v>1.5720000000000001E-2</c:v>
                </c:pt>
                <c:pt idx="76">
                  <c:v>1.5779999999999999E-2</c:v>
                </c:pt>
                <c:pt idx="77">
                  <c:v>1.584E-2</c:v>
                </c:pt>
                <c:pt idx="78">
                  <c:v>1.5900000000000001E-2</c:v>
                </c:pt>
                <c:pt idx="79">
                  <c:v>1.5949999999999999E-2</c:v>
                </c:pt>
                <c:pt idx="80">
                  <c:v>1.601E-2</c:v>
                </c:pt>
                <c:pt idx="81">
                  <c:v>1.6060000000000001E-2</c:v>
                </c:pt>
                <c:pt idx="82">
                  <c:v>1.6109999999999999E-2</c:v>
                </c:pt>
                <c:pt idx="83">
                  <c:v>1.6160000000000001E-2</c:v>
                </c:pt>
                <c:pt idx="84">
                  <c:v>1.6209999999999999E-2</c:v>
                </c:pt>
                <c:pt idx="85">
                  <c:v>1.626E-2</c:v>
                </c:pt>
                <c:pt idx="86">
                  <c:v>1.6310000000000002E-2</c:v>
                </c:pt>
                <c:pt idx="87">
                  <c:v>1.636E-2</c:v>
                </c:pt>
                <c:pt idx="88">
                  <c:v>1.6400000000000001E-2</c:v>
                </c:pt>
                <c:pt idx="89">
                  <c:v>1.6449999999999999E-2</c:v>
                </c:pt>
                <c:pt idx="90">
                  <c:v>1.6490000000000001E-2</c:v>
                </c:pt>
                <c:pt idx="91">
                  <c:v>1.653E-2</c:v>
                </c:pt>
                <c:pt idx="92">
                  <c:v>1.6570000000000001E-2</c:v>
                </c:pt>
                <c:pt idx="93">
                  <c:v>1.661E-2</c:v>
                </c:pt>
                <c:pt idx="94">
                  <c:v>1.6650000000000002E-2</c:v>
                </c:pt>
                <c:pt idx="95">
                  <c:v>1.669E-2</c:v>
                </c:pt>
                <c:pt idx="96">
                  <c:v>1.6729999999999998E-2</c:v>
                </c:pt>
                <c:pt idx="97">
                  <c:v>1.677E-2</c:v>
                </c:pt>
                <c:pt idx="98">
                  <c:v>1.6799999999999999E-2</c:v>
                </c:pt>
                <c:pt idx="99">
                  <c:v>1.6840000000000001E-2</c:v>
                </c:pt>
                <c:pt idx="100">
                  <c:v>1.687E-2</c:v>
                </c:pt>
                <c:pt idx="101">
                  <c:v>1.6910000000000001E-2</c:v>
                </c:pt>
                <c:pt idx="102">
                  <c:v>1.694E-2</c:v>
                </c:pt>
                <c:pt idx="103">
                  <c:v>1.6979999999999999E-2</c:v>
                </c:pt>
                <c:pt idx="104">
                  <c:v>1.7010000000000001E-2</c:v>
                </c:pt>
                <c:pt idx="105">
                  <c:v>1.704E-2</c:v>
                </c:pt>
                <c:pt idx="106">
                  <c:v>1.7069999999999998E-2</c:v>
                </c:pt>
                <c:pt idx="107">
                  <c:v>1.7100000000000001E-2</c:v>
                </c:pt>
                <c:pt idx="108">
                  <c:v>1.7129999999999999E-2</c:v>
                </c:pt>
                <c:pt idx="109">
                  <c:v>1.7160000000000002E-2</c:v>
                </c:pt>
                <c:pt idx="110">
                  <c:v>1.719E-2</c:v>
                </c:pt>
                <c:pt idx="111">
                  <c:v>1.7219999999999999E-2</c:v>
                </c:pt>
                <c:pt idx="112">
                  <c:v>1.7250000000000001E-2</c:v>
                </c:pt>
                <c:pt idx="113">
                  <c:v>1.728E-2</c:v>
                </c:pt>
                <c:pt idx="114">
                  <c:v>1.7299999999999999E-2</c:v>
                </c:pt>
                <c:pt idx="115">
                  <c:v>1.7330000000000002E-2</c:v>
                </c:pt>
                <c:pt idx="116">
                  <c:v>1.736E-2</c:v>
                </c:pt>
                <c:pt idx="117">
                  <c:v>1.738E-2</c:v>
                </c:pt>
                <c:pt idx="118">
                  <c:v>1.7409999999999998E-2</c:v>
                </c:pt>
                <c:pt idx="119">
                  <c:v>1.7430000000000001E-2</c:v>
                </c:pt>
                <c:pt idx="120">
                  <c:v>1.746E-2</c:v>
                </c:pt>
                <c:pt idx="121">
                  <c:v>1.7479999999999999E-2</c:v>
                </c:pt>
                <c:pt idx="122">
                  <c:v>1.7500000000000002E-2</c:v>
                </c:pt>
                <c:pt idx="123">
                  <c:v>1.753E-2</c:v>
                </c:pt>
                <c:pt idx="124">
                  <c:v>1.755E-2</c:v>
                </c:pt>
                <c:pt idx="125">
                  <c:v>1.7569999999999999E-2</c:v>
                </c:pt>
                <c:pt idx="126">
                  <c:v>1.7600000000000001E-2</c:v>
                </c:pt>
                <c:pt idx="127">
                  <c:v>1.762E-2</c:v>
                </c:pt>
                <c:pt idx="128">
                  <c:v>1.7639999999999999E-2</c:v>
                </c:pt>
                <c:pt idx="129">
                  <c:v>1.7659999999999999E-2</c:v>
                </c:pt>
                <c:pt idx="130">
                  <c:v>1.7680000000000001E-2</c:v>
                </c:pt>
                <c:pt idx="131">
                  <c:v>1.77E-2</c:v>
                </c:pt>
                <c:pt idx="132">
                  <c:v>1.772E-2</c:v>
                </c:pt>
                <c:pt idx="133">
                  <c:v>1.7739999999999999E-2</c:v>
                </c:pt>
                <c:pt idx="134">
                  <c:v>1.7760000000000001E-2</c:v>
                </c:pt>
                <c:pt idx="135">
                  <c:v>1.7780000000000001E-2</c:v>
                </c:pt>
                <c:pt idx="136">
                  <c:v>1.78E-2</c:v>
                </c:pt>
                <c:pt idx="137">
                  <c:v>1.7819999999999999E-2</c:v>
                </c:pt>
                <c:pt idx="138">
                  <c:v>1.7840000000000002E-2</c:v>
                </c:pt>
                <c:pt idx="139">
                  <c:v>1.7860000000000001E-2</c:v>
                </c:pt>
                <c:pt idx="140">
                  <c:v>1.787E-2</c:v>
                </c:pt>
                <c:pt idx="141">
                  <c:v>1.789E-2</c:v>
                </c:pt>
                <c:pt idx="142">
                  <c:v>1.7909999999999999E-2</c:v>
                </c:pt>
                <c:pt idx="143">
                  <c:v>1.7930000000000001E-2</c:v>
                </c:pt>
                <c:pt idx="144">
                  <c:v>1.7940000000000001E-2</c:v>
                </c:pt>
                <c:pt idx="145">
                  <c:v>1.796E-2</c:v>
                </c:pt>
                <c:pt idx="146">
                  <c:v>1.7979999999999999E-2</c:v>
                </c:pt>
                <c:pt idx="147">
                  <c:v>1.7989999999999999E-2</c:v>
                </c:pt>
                <c:pt idx="148">
                  <c:v>1.8010000000000002E-2</c:v>
                </c:pt>
                <c:pt idx="149">
                  <c:v>1.8030000000000001E-2</c:v>
                </c:pt>
              </c:numCache>
            </c:numRef>
          </c:val>
          <c:smooth val="0"/>
        </c:ser>
        <c:ser>
          <c:idx val="6"/>
          <c:order val="3"/>
          <c:tx>
            <c:strRef>
              <c:f>RFR!$H$1</c:f>
              <c:strCache>
                <c:ptCount val="1"/>
                <c:pt idx="0">
                  <c:v>BaseLine-up</c:v>
                </c:pt>
              </c:strCache>
            </c:strRef>
          </c:tx>
          <c:marker>
            <c:symbol val="none"/>
          </c:marker>
          <c:val>
            <c:numRef>
              <c:f>RFR!$H$2:$H$151</c:f>
              <c:numCache>
                <c:formatCode>0\.00000%</c:formatCode>
                <c:ptCount val="150"/>
                <c:pt idx="0">
                  <c:v>6.4200000000000004E-3</c:v>
                </c:pt>
                <c:pt idx="1">
                  <c:v>7.4999999999999997E-3</c:v>
                </c:pt>
                <c:pt idx="2">
                  <c:v>9.1199999999999996E-3</c:v>
                </c:pt>
                <c:pt idx="3">
                  <c:v>1.069E-2</c:v>
                </c:pt>
                <c:pt idx="4">
                  <c:v>1.209E-2</c:v>
                </c:pt>
                <c:pt idx="5">
                  <c:v>1.3469999999999999E-2</c:v>
                </c:pt>
                <c:pt idx="6">
                  <c:v>1.469E-2</c:v>
                </c:pt>
                <c:pt idx="7">
                  <c:v>1.585E-2</c:v>
                </c:pt>
                <c:pt idx="8">
                  <c:v>1.695E-2</c:v>
                </c:pt>
                <c:pt idx="9">
                  <c:v>1.8020000000000001E-2</c:v>
                </c:pt>
                <c:pt idx="10">
                  <c:v>1.8970000000000001E-2</c:v>
                </c:pt>
                <c:pt idx="11">
                  <c:v>1.9820000000000001E-2</c:v>
                </c:pt>
                <c:pt idx="12">
                  <c:v>2.0590000000000001E-2</c:v>
                </c:pt>
                <c:pt idx="13">
                  <c:v>2.1249999999999998E-2</c:v>
                </c:pt>
                <c:pt idx="14">
                  <c:v>2.1769999999999998E-2</c:v>
                </c:pt>
                <c:pt idx="15">
                  <c:v>2.2170000000000002E-2</c:v>
                </c:pt>
                <c:pt idx="16">
                  <c:v>2.249E-2</c:v>
                </c:pt>
                <c:pt idx="17">
                  <c:v>2.2800000000000001E-2</c:v>
                </c:pt>
                <c:pt idx="18">
                  <c:v>2.316E-2</c:v>
                </c:pt>
                <c:pt idx="19">
                  <c:v>2.3570000000000001E-2</c:v>
                </c:pt>
                <c:pt idx="20">
                  <c:v>2.4080000000000001E-2</c:v>
                </c:pt>
                <c:pt idx="21">
                  <c:v>2.4640000000000002E-2</c:v>
                </c:pt>
                <c:pt idx="22">
                  <c:v>2.5239999999999999E-2</c:v>
                </c:pt>
                <c:pt idx="23">
                  <c:v>2.5860000000000001E-2</c:v>
                </c:pt>
                <c:pt idx="24">
                  <c:v>2.649E-2</c:v>
                </c:pt>
                <c:pt idx="25">
                  <c:v>2.7130000000000001E-2</c:v>
                </c:pt>
                <c:pt idx="26">
                  <c:v>2.7749999999999997E-2</c:v>
                </c:pt>
                <c:pt idx="27">
                  <c:v>2.8369999999999999E-2</c:v>
                </c:pt>
                <c:pt idx="28">
                  <c:v>2.8970000000000003E-2</c:v>
                </c:pt>
                <c:pt idx="29">
                  <c:v>2.9560000000000003E-2</c:v>
                </c:pt>
                <c:pt idx="30">
                  <c:v>3.0129999999999997E-2</c:v>
                </c:pt>
                <c:pt idx="31">
                  <c:v>3.0690000000000002E-2</c:v>
                </c:pt>
                <c:pt idx="32">
                  <c:v>3.1219999999999998E-2</c:v>
                </c:pt>
                <c:pt idx="33">
                  <c:v>3.1739999999999997E-2</c:v>
                </c:pt>
                <c:pt idx="34">
                  <c:v>3.2230000000000002E-2</c:v>
                </c:pt>
                <c:pt idx="35">
                  <c:v>3.2710000000000003E-2</c:v>
                </c:pt>
                <c:pt idx="36">
                  <c:v>3.3169999999999998E-2</c:v>
                </c:pt>
                <c:pt idx="37">
                  <c:v>3.3619999999999997E-2</c:v>
                </c:pt>
                <c:pt idx="38">
                  <c:v>3.4040000000000001E-2</c:v>
                </c:pt>
                <c:pt idx="39">
                  <c:v>3.4450000000000001E-2</c:v>
                </c:pt>
                <c:pt idx="40">
                  <c:v>3.4849999999999999E-2</c:v>
                </c:pt>
                <c:pt idx="41">
                  <c:v>3.5229999999999997E-2</c:v>
                </c:pt>
                <c:pt idx="42">
                  <c:v>3.5590000000000004E-2</c:v>
                </c:pt>
                <c:pt idx="43">
                  <c:v>3.594E-2</c:v>
                </c:pt>
                <c:pt idx="44">
                  <c:v>3.628E-2</c:v>
                </c:pt>
                <c:pt idx="45">
                  <c:v>3.6600000000000001E-2</c:v>
                </c:pt>
                <c:pt idx="46">
                  <c:v>3.6920000000000001E-2</c:v>
                </c:pt>
                <c:pt idx="47">
                  <c:v>3.7220000000000003E-2</c:v>
                </c:pt>
                <c:pt idx="48">
                  <c:v>3.7510000000000002E-2</c:v>
                </c:pt>
                <c:pt idx="49">
                  <c:v>3.7789999999999997E-2</c:v>
                </c:pt>
                <c:pt idx="50">
                  <c:v>3.8060000000000004E-2</c:v>
                </c:pt>
                <c:pt idx="51">
                  <c:v>3.832E-2</c:v>
                </c:pt>
                <c:pt idx="52">
                  <c:v>3.857E-2</c:v>
                </c:pt>
                <c:pt idx="53">
                  <c:v>3.8809999999999997E-2</c:v>
                </c:pt>
                <c:pt idx="54">
                  <c:v>3.9050000000000001E-2</c:v>
                </c:pt>
                <c:pt idx="55">
                  <c:v>3.9280000000000002E-2</c:v>
                </c:pt>
                <c:pt idx="56">
                  <c:v>3.9489999999999997E-2</c:v>
                </c:pt>
                <c:pt idx="57">
                  <c:v>3.9710000000000002E-2</c:v>
                </c:pt>
                <c:pt idx="58">
                  <c:v>3.9910000000000001E-2</c:v>
                </c:pt>
                <c:pt idx="59">
                  <c:v>4.011E-2</c:v>
                </c:pt>
                <c:pt idx="60">
                  <c:v>4.0300000000000002E-2</c:v>
                </c:pt>
                <c:pt idx="61">
                  <c:v>4.0489999999999998E-2</c:v>
                </c:pt>
                <c:pt idx="62">
                  <c:v>4.0669999999999998E-2</c:v>
                </c:pt>
                <c:pt idx="63">
                  <c:v>4.0840000000000001E-2</c:v>
                </c:pt>
                <c:pt idx="64">
                  <c:v>4.1009999999999998E-2</c:v>
                </c:pt>
                <c:pt idx="65">
                  <c:v>4.1180000000000001E-2</c:v>
                </c:pt>
                <c:pt idx="66">
                  <c:v>4.1340000000000002E-2</c:v>
                </c:pt>
                <c:pt idx="67">
                  <c:v>4.1489999999999999E-2</c:v>
                </c:pt>
                <c:pt idx="68">
                  <c:v>4.1640000000000003E-2</c:v>
                </c:pt>
                <c:pt idx="69">
                  <c:v>4.1790000000000001E-2</c:v>
                </c:pt>
                <c:pt idx="70">
                  <c:v>4.1930000000000002E-2</c:v>
                </c:pt>
                <c:pt idx="71">
                  <c:v>4.2070000000000003E-2</c:v>
                </c:pt>
                <c:pt idx="72">
                  <c:v>4.2210000000000004E-2</c:v>
                </c:pt>
                <c:pt idx="73">
                  <c:v>4.2340000000000003E-2</c:v>
                </c:pt>
                <c:pt idx="74">
                  <c:v>4.2470000000000001E-2</c:v>
                </c:pt>
                <c:pt idx="75">
                  <c:v>4.2590000000000003E-2</c:v>
                </c:pt>
                <c:pt idx="76">
                  <c:v>4.2710000000000005E-2</c:v>
                </c:pt>
                <c:pt idx="77">
                  <c:v>4.283E-2</c:v>
                </c:pt>
                <c:pt idx="78">
                  <c:v>4.2950000000000002E-2</c:v>
                </c:pt>
                <c:pt idx="79">
                  <c:v>4.3060000000000001E-2</c:v>
                </c:pt>
                <c:pt idx="80">
                  <c:v>4.317E-2</c:v>
                </c:pt>
                <c:pt idx="81">
                  <c:v>4.3279999999999999E-2</c:v>
                </c:pt>
                <c:pt idx="82">
                  <c:v>4.3380000000000002E-2</c:v>
                </c:pt>
                <c:pt idx="83">
                  <c:v>4.3480000000000005E-2</c:v>
                </c:pt>
                <c:pt idx="84">
                  <c:v>4.3580000000000001E-2</c:v>
                </c:pt>
                <c:pt idx="85">
                  <c:v>4.3680000000000004E-2</c:v>
                </c:pt>
                <c:pt idx="86">
                  <c:v>4.3779999999999999E-2</c:v>
                </c:pt>
                <c:pt idx="87">
                  <c:v>4.3869999999999999E-2</c:v>
                </c:pt>
                <c:pt idx="88">
                  <c:v>4.3959999999999999E-2</c:v>
                </c:pt>
                <c:pt idx="89">
                  <c:v>4.4049999999999999E-2</c:v>
                </c:pt>
                <c:pt idx="90">
                  <c:v>4.4139999999999999E-2</c:v>
                </c:pt>
                <c:pt idx="91">
                  <c:v>4.4220000000000002E-2</c:v>
                </c:pt>
                <c:pt idx="92">
                  <c:v>4.4299999999999999E-2</c:v>
                </c:pt>
                <c:pt idx="93">
                  <c:v>4.4389999999999999E-2</c:v>
                </c:pt>
                <c:pt idx="94">
                  <c:v>4.4470000000000003E-2</c:v>
                </c:pt>
                <c:pt idx="95">
                  <c:v>4.4540000000000003E-2</c:v>
                </c:pt>
                <c:pt idx="96">
                  <c:v>4.462E-2</c:v>
                </c:pt>
                <c:pt idx="97">
                  <c:v>4.4700000000000004E-2</c:v>
                </c:pt>
                <c:pt idx="98">
                  <c:v>4.4770000000000004E-2</c:v>
                </c:pt>
                <c:pt idx="99">
                  <c:v>4.4840000000000005E-2</c:v>
                </c:pt>
                <c:pt idx="100">
                  <c:v>4.4909999999999999E-2</c:v>
                </c:pt>
                <c:pt idx="101">
                  <c:v>4.4979999999999999E-2</c:v>
                </c:pt>
                <c:pt idx="102">
                  <c:v>4.505E-2</c:v>
                </c:pt>
                <c:pt idx="103">
                  <c:v>4.512E-2</c:v>
                </c:pt>
                <c:pt idx="104">
                  <c:v>4.5180000000000005E-2</c:v>
                </c:pt>
                <c:pt idx="105">
                  <c:v>4.5249999999999999E-2</c:v>
                </c:pt>
                <c:pt idx="106">
                  <c:v>4.5310000000000003E-2</c:v>
                </c:pt>
                <c:pt idx="107">
                  <c:v>4.5370000000000001E-2</c:v>
                </c:pt>
                <c:pt idx="108">
                  <c:v>4.5430000000000005E-2</c:v>
                </c:pt>
                <c:pt idx="109">
                  <c:v>4.5490000000000003E-2</c:v>
                </c:pt>
                <c:pt idx="110">
                  <c:v>4.555E-2</c:v>
                </c:pt>
                <c:pt idx="111">
                  <c:v>4.5610000000000005E-2</c:v>
                </c:pt>
                <c:pt idx="112">
                  <c:v>4.5659999999999999E-2</c:v>
                </c:pt>
                <c:pt idx="113">
                  <c:v>4.5720000000000004E-2</c:v>
                </c:pt>
                <c:pt idx="114">
                  <c:v>4.5770000000000005E-2</c:v>
                </c:pt>
                <c:pt idx="115">
                  <c:v>4.5830000000000003E-2</c:v>
                </c:pt>
                <c:pt idx="116">
                  <c:v>4.5880000000000004E-2</c:v>
                </c:pt>
                <c:pt idx="117">
                  <c:v>4.5929999999999999E-2</c:v>
                </c:pt>
                <c:pt idx="118">
                  <c:v>4.598E-2</c:v>
                </c:pt>
                <c:pt idx="119">
                  <c:v>4.6030000000000001E-2</c:v>
                </c:pt>
                <c:pt idx="120">
                  <c:v>4.6080000000000003E-2</c:v>
                </c:pt>
                <c:pt idx="121">
                  <c:v>4.6130000000000004E-2</c:v>
                </c:pt>
                <c:pt idx="122">
                  <c:v>4.6179999999999999E-2</c:v>
                </c:pt>
                <c:pt idx="123">
                  <c:v>4.6220000000000004E-2</c:v>
                </c:pt>
                <c:pt idx="124">
                  <c:v>4.6269999999999999E-2</c:v>
                </c:pt>
                <c:pt idx="125">
                  <c:v>4.6310000000000004E-2</c:v>
                </c:pt>
                <c:pt idx="126">
                  <c:v>4.6360000000000005E-2</c:v>
                </c:pt>
                <c:pt idx="127">
                  <c:v>4.6400000000000004E-2</c:v>
                </c:pt>
                <c:pt idx="128">
                  <c:v>4.6450000000000005E-2</c:v>
                </c:pt>
                <c:pt idx="129">
                  <c:v>4.6490000000000004E-2</c:v>
                </c:pt>
                <c:pt idx="130">
                  <c:v>4.6530000000000002E-2</c:v>
                </c:pt>
                <c:pt idx="131">
                  <c:v>4.657E-2</c:v>
                </c:pt>
                <c:pt idx="132">
                  <c:v>4.6609999999999999E-2</c:v>
                </c:pt>
                <c:pt idx="133">
                  <c:v>4.6650000000000004E-2</c:v>
                </c:pt>
                <c:pt idx="134">
                  <c:v>4.6690000000000002E-2</c:v>
                </c:pt>
                <c:pt idx="135">
                  <c:v>4.6730000000000001E-2</c:v>
                </c:pt>
                <c:pt idx="136">
                  <c:v>4.6769999999999999E-2</c:v>
                </c:pt>
                <c:pt idx="137">
                  <c:v>4.6810000000000004E-2</c:v>
                </c:pt>
                <c:pt idx="138">
                  <c:v>4.684E-2</c:v>
                </c:pt>
                <c:pt idx="139">
                  <c:v>4.6880000000000005E-2</c:v>
                </c:pt>
                <c:pt idx="140">
                  <c:v>4.6920000000000003E-2</c:v>
                </c:pt>
                <c:pt idx="141">
                  <c:v>4.6949999999999999E-2</c:v>
                </c:pt>
                <c:pt idx="142">
                  <c:v>4.6990000000000004E-2</c:v>
                </c:pt>
                <c:pt idx="143">
                  <c:v>4.7019999999999999E-2</c:v>
                </c:pt>
                <c:pt idx="144">
                  <c:v>4.7060000000000005E-2</c:v>
                </c:pt>
                <c:pt idx="145">
                  <c:v>4.709E-2</c:v>
                </c:pt>
                <c:pt idx="146">
                  <c:v>4.7120000000000002E-2</c:v>
                </c:pt>
                <c:pt idx="147">
                  <c:v>4.7160000000000001E-2</c:v>
                </c:pt>
                <c:pt idx="148">
                  <c:v>4.7190000000000003E-2</c:v>
                </c:pt>
                <c:pt idx="149">
                  <c:v>4.7220000000000005E-2</c:v>
                </c:pt>
              </c:numCache>
            </c:numRef>
          </c:val>
          <c:smooth val="0"/>
        </c:ser>
        <c:ser>
          <c:idx val="7"/>
          <c:order val="4"/>
          <c:tx>
            <c:strRef>
              <c:f>RFR!$I$1</c:f>
              <c:strCache>
                <c:ptCount val="1"/>
                <c:pt idx="0">
                  <c:v>YCU-up</c:v>
                </c:pt>
              </c:strCache>
            </c:strRef>
          </c:tx>
          <c:marker>
            <c:symbol val="none"/>
          </c:marker>
          <c:val>
            <c:numRef>
              <c:f>RFR!$I$2:$I$151</c:f>
              <c:numCache>
                <c:formatCode>0\.00000%</c:formatCode>
                <c:ptCount val="150"/>
                <c:pt idx="0">
                  <c:v>1.1300000000000001E-2</c:v>
                </c:pt>
                <c:pt idx="1">
                  <c:v>1.6199999999999999E-2</c:v>
                </c:pt>
                <c:pt idx="2">
                  <c:v>1.8939999999999999E-2</c:v>
                </c:pt>
                <c:pt idx="3">
                  <c:v>2.0670000000000001E-2</c:v>
                </c:pt>
                <c:pt idx="4">
                  <c:v>2.2040000000000001E-2</c:v>
                </c:pt>
                <c:pt idx="5">
                  <c:v>2.324E-2</c:v>
                </c:pt>
                <c:pt idx="6">
                  <c:v>2.4300000000000002E-2</c:v>
                </c:pt>
                <c:pt idx="7">
                  <c:v>2.521E-2</c:v>
                </c:pt>
                <c:pt idx="8">
                  <c:v>2.5989999999999999E-2</c:v>
                </c:pt>
                <c:pt idx="9">
                  <c:v>2.6630000000000001E-2</c:v>
                </c:pt>
                <c:pt idx="10">
                  <c:v>2.7150000000000001E-2</c:v>
                </c:pt>
                <c:pt idx="11">
                  <c:v>2.7590000000000003E-2</c:v>
                </c:pt>
                <c:pt idx="12">
                  <c:v>2.7990000000000001E-2</c:v>
                </c:pt>
                <c:pt idx="13">
                  <c:v>2.8360000000000003E-2</c:v>
                </c:pt>
                <c:pt idx="14">
                  <c:v>2.8720000000000002E-2</c:v>
                </c:pt>
                <c:pt idx="15">
                  <c:v>2.9089999999999998E-2</c:v>
                </c:pt>
                <c:pt idx="16">
                  <c:v>2.946E-2</c:v>
                </c:pt>
                <c:pt idx="17">
                  <c:v>2.9839999999999998E-2</c:v>
                </c:pt>
                <c:pt idx="18">
                  <c:v>3.0249999999999999E-2</c:v>
                </c:pt>
                <c:pt idx="19">
                  <c:v>3.0670000000000003E-2</c:v>
                </c:pt>
                <c:pt idx="20">
                  <c:v>3.1120000000000002E-2</c:v>
                </c:pt>
                <c:pt idx="21">
                  <c:v>3.1579999999999997E-2</c:v>
                </c:pt>
                <c:pt idx="22">
                  <c:v>3.2050000000000002E-2</c:v>
                </c:pt>
                <c:pt idx="23">
                  <c:v>3.252E-2</c:v>
                </c:pt>
                <c:pt idx="24">
                  <c:v>3.2980000000000002E-2</c:v>
                </c:pt>
                <c:pt idx="25">
                  <c:v>3.3430000000000001E-2</c:v>
                </c:pt>
                <c:pt idx="26">
                  <c:v>3.3869999999999997E-2</c:v>
                </c:pt>
                <c:pt idx="27">
                  <c:v>3.431E-2</c:v>
                </c:pt>
                <c:pt idx="28">
                  <c:v>3.4729999999999997E-2</c:v>
                </c:pt>
                <c:pt idx="29">
                  <c:v>3.5130000000000002E-2</c:v>
                </c:pt>
                <c:pt idx="30">
                  <c:v>3.5520000000000003E-2</c:v>
                </c:pt>
                <c:pt idx="31">
                  <c:v>3.5900000000000001E-2</c:v>
                </c:pt>
                <c:pt idx="32">
                  <c:v>3.6270000000000004E-2</c:v>
                </c:pt>
                <c:pt idx="33">
                  <c:v>3.662E-2</c:v>
                </c:pt>
                <c:pt idx="34">
                  <c:v>3.696E-2</c:v>
                </c:pt>
                <c:pt idx="35">
                  <c:v>3.7289999999999997E-2</c:v>
                </c:pt>
                <c:pt idx="36">
                  <c:v>3.7600000000000001E-2</c:v>
                </c:pt>
                <c:pt idx="37">
                  <c:v>3.7900000000000003E-2</c:v>
                </c:pt>
                <c:pt idx="38">
                  <c:v>3.8190000000000002E-2</c:v>
                </c:pt>
                <c:pt idx="39">
                  <c:v>3.8469999999999997E-2</c:v>
                </c:pt>
                <c:pt idx="40">
                  <c:v>3.8740000000000004E-2</c:v>
                </c:pt>
                <c:pt idx="41">
                  <c:v>3.8989999999999997E-2</c:v>
                </c:pt>
                <c:pt idx="42">
                  <c:v>3.9239999999999997E-2</c:v>
                </c:pt>
                <c:pt idx="43">
                  <c:v>3.9480000000000001E-2</c:v>
                </c:pt>
                <c:pt idx="44">
                  <c:v>3.9710000000000002E-2</c:v>
                </c:pt>
                <c:pt idx="45">
                  <c:v>3.993E-2</c:v>
                </c:pt>
                <c:pt idx="46">
                  <c:v>4.0149999999999998E-2</c:v>
                </c:pt>
                <c:pt idx="47">
                  <c:v>4.0349999999999997E-2</c:v>
                </c:pt>
                <c:pt idx="48">
                  <c:v>4.0550000000000003E-2</c:v>
                </c:pt>
                <c:pt idx="49">
                  <c:v>4.0739999999999998E-2</c:v>
                </c:pt>
                <c:pt idx="50">
                  <c:v>4.0930000000000001E-2</c:v>
                </c:pt>
                <c:pt idx="51">
                  <c:v>4.1099999999999998E-2</c:v>
                </c:pt>
                <c:pt idx="52">
                  <c:v>4.1280000000000004E-2</c:v>
                </c:pt>
                <c:pt idx="53">
                  <c:v>4.1440000000000005E-2</c:v>
                </c:pt>
                <c:pt idx="54">
                  <c:v>4.1600000000000005E-2</c:v>
                </c:pt>
                <c:pt idx="55">
                  <c:v>4.1759999999999999E-2</c:v>
                </c:pt>
                <c:pt idx="56">
                  <c:v>4.1910000000000003E-2</c:v>
                </c:pt>
                <c:pt idx="57">
                  <c:v>4.2050000000000004E-2</c:v>
                </c:pt>
                <c:pt idx="58">
                  <c:v>4.2190000000000005E-2</c:v>
                </c:pt>
                <c:pt idx="59">
                  <c:v>4.233E-2</c:v>
                </c:pt>
                <c:pt idx="60">
                  <c:v>4.2460000000000005E-2</c:v>
                </c:pt>
                <c:pt idx="61">
                  <c:v>4.2590000000000003E-2</c:v>
                </c:pt>
                <c:pt idx="62">
                  <c:v>4.2710000000000005E-2</c:v>
                </c:pt>
                <c:pt idx="63">
                  <c:v>4.283E-2</c:v>
                </c:pt>
                <c:pt idx="64">
                  <c:v>4.2950000000000002E-2</c:v>
                </c:pt>
                <c:pt idx="65">
                  <c:v>4.3060000000000001E-2</c:v>
                </c:pt>
                <c:pt idx="66">
                  <c:v>4.317E-2</c:v>
                </c:pt>
                <c:pt idx="67">
                  <c:v>4.3279999999999999E-2</c:v>
                </c:pt>
                <c:pt idx="68">
                  <c:v>4.3380000000000002E-2</c:v>
                </c:pt>
                <c:pt idx="69">
                  <c:v>4.3480000000000005E-2</c:v>
                </c:pt>
                <c:pt idx="70">
                  <c:v>4.3580000000000001E-2</c:v>
                </c:pt>
                <c:pt idx="71">
                  <c:v>4.3680000000000004E-2</c:v>
                </c:pt>
                <c:pt idx="72">
                  <c:v>4.3770000000000003E-2</c:v>
                </c:pt>
                <c:pt idx="73">
                  <c:v>4.3860000000000003E-2</c:v>
                </c:pt>
                <c:pt idx="74">
                  <c:v>4.3950000000000003E-2</c:v>
                </c:pt>
                <c:pt idx="75">
                  <c:v>4.403E-2</c:v>
                </c:pt>
                <c:pt idx="76">
                  <c:v>4.4119999999999999E-2</c:v>
                </c:pt>
                <c:pt idx="77">
                  <c:v>4.4200000000000003E-2</c:v>
                </c:pt>
                <c:pt idx="78">
                  <c:v>4.428E-2</c:v>
                </c:pt>
                <c:pt idx="79">
                  <c:v>4.4360000000000004E-2</c:v>
                </c:pt>
                <c:pt idx="80">
                  <c:v>4.4430000000000004E-2</c:v>
                </c:pt>
                <c:pt idx="81">
                  <c:v>4.4510000000000001E-2</c:v>
                </c:pt>
                <c:pt idx="82">
                  <c:v>4.4580000000000002E-2</c:v>
                </c:pt>
                <c:pt idx="83">
                  <c:v>4.4650000000000002E-2</c:v>
                </c:pt>
                <c:pt idx="84">
                  <c:v>4.4720000000000003E-2</c:v>
                </c:pt>
                <c:pt idx="85">
                  <c:v>4.478E-2</c:v>
                </c:pt>
                <c:pt idx="86">
                  <c:v>4.4850000000000001E-2</c:v>
                </c:pt>
                <c:pt idx="87">
                  <c:v>4.4909999999999999E-2</c:v>
                </c:pt>
                <c:pt idx="88">
                  <c:v>4.4979999999999999E-2</c:v>
                </c:pt>
                <c:pt idx="89">
                  <c:v>4.5040000000000004E-2</c:v>
                </c:pt>
                <c:pt idx="90">
                  <c:v>4.5100000000000001E-2</c:v>
                </c:pt>
                <c:pt idx="91">
                  <c:v>4.5150000000000003E-2</c:v>
                </c:pt>
                <c:pt idx="92">
                  <c:v>4.521E-2</c:v>
                </c:pt>
                <c:pt idx="93">
                  <c:v>4.5270000000000005E-2</c:v>
                </c:pt>
                <c:pt idx="94">
                  <c:v>4.5319999999999999E-2</c:v>
                </c:pt>
                <c:pt idx="95">
                  <c:v>4.5380000000000004E-2</c:v>
                </c:pt>
                <c:pt idx="96">
                  <c:v>4.5430000000000005E-2</c:v>
                </c:pt>
                <c:pt idx="97">
                  <c:v>4.548E-2</c:v>
                </c:pt>
                <c:pt idx="98">
                  <c:v>4.5530000000000001E-2</c:v>
                </c:pt>
                <c:pt idx="99">
                  <c:v>4.5580000000000002E-2</c:v>
                </c:pt>
                <c:pt idx="100">
                  <c:v>4.5630000000000004E-2</c:v>
                </c:pt>
                <c:pt idx="101">
                  <c:v>4.5680000000000005E-2</c:v>
                </c:pt>
                <c:pt idx="102">
                  <c:v>4.5720000000000004E-2</c:v>
                </c:pt>
                <c:pt idx="103">
                  <c:v>4.5770000000000005E-2</c:v>
                </c:pt>
                <c:pt idx="104">
                  <c:v>4.5810000000000003E-2</c:v>
                </c:pt>
                <c:pt idx="105">
                  <c:v>4.5860000000000005E-2</c:v>
                </c:pt>
                <c:pt idx="106">
                  <c:v>4.5900000000000003E-2</c:v>
                </c:pt>
                <c:pt idx="107">
                  <c:v>4.5940000000000002E-2</c:v>
                </c:pt>
                <c:pt idx="108">
                  <c:v>4.5990000000000003E-2</c:v>
                </c:pt>
                <c:pt idx="109">
                  <c:v>4.6030000000000001E-2</c:v>
                </c:pt>
                <c:pt idx="110">
                  <c:v>4.607E-2</c:v>
                </c:pt>
                <c:pt idx="111">
                  <c:v>4.6110000000000005E-2</c:v>
                </c:pt>
                <c:pt idx="112">
                  <c:v>4.6150000000000004E-2</c:v>
                </c:pt>
                <c:pt idx="113">
                  <c:v>4.6179999999999999E-2</c:v>
                </c:pt>
                <c:pt idx="114">
                  <c:v>4.6220000000000004E-2</c:v>
                </c:pt>
                <c:pt idx="115">
                  <c:v>4.6260000000000003E-2</c:v>
                </c:pt>
                <c:pt idx="116">
                  <c:v>4.6290000000000005E-2</c:v>
                </c:pt>
                <c:pt idx="117">
                  <c:v>4.6330000000000003E-2</c:v>
                </c:pt>
                <c:pt idx="118">
                  <c:v>4.6360000000000005E-2</c:v>
                </c:pt>
                <c:pt idx="119">
                  <c:v>4.6400000000000004E-2</c:v>
                </c:pt>
                <c:pt idx="120">
                  <c:v>4.6429999999999999E-2</c:v>
                </c:pt>
                <c:pt idx="121">
                  <c:v>4.6470000000000004E-2</c:v>
                </c:pt>
                <c:pt idx="122">
                  <c:v>4.65E-2</c:v>
                </c:pt>
                <c:pt idx="123">
                  <c:v>4.6530000000000002E-2</c:v>
                </c:pt>
                <c:pt idx="124">
                  <c:v>4.6560000000000004E-2</c:v>
                </c:pt>
                <c:pt idx="125">
                  <c:v>4.6589999999999999E-2</c:v>
                </c:pt>
                <c:pt idx="126">
                  <c:v>4.6620000000000002E-2</c:v>
                </c:pt>
                <c:pt idx="127">
                  <c:v>4.666E-2</c:v>
                </c:pt>
                <c:pt idx="128">
                  <c:v>4.6679999999999999E-2</c:v>
                </c:pt>
                <c:pt idx="129">
                  <c:v>4.6710000000000002E-2</c:v>
                </c:pt>
                <c:pt idx="130">
                  <c:v>4.6740000000000004E-2</c:v>
                </c:pt>
                <c:pt idx="131">
                  <c:v>4.6769999999999999E-2</c:v>
                </c:pt>
                <c:pt idx="132">
                  <c:v>4.6800000000000001E-2</c:v>
                </c:pt>
                <c:pt idx="133">
                  <c:v>4.6830000000000004E-2</c:v>
                </c:pt>
                <c:pt idx="134">
                  <c:v>4.6850000000000003E-2</c:v>
                </c:pt>
                <c:pt idx="135">
                  <c:v>4.6880000000000005E-2</c:v>
                </c:pt>
                <c:pt idx="136">
                  <c:v>4.691E-2</c:v>
                </c:pt>
                <c:pt idx="137">
                  <c:v>4.6929999999999999E-2</c:v>
                </c:pt>
                <c:pt idx="138">
                  <c:v>4.6960000000000002E-2</c:v>
                </c:pt>
                <c:pt idx="139">
                  <c:v>4.6980000000000001E-2</c:v>
                </c:pt>
                <c:pt idx="140">
                  <c:v>4.7010000000000003E-2</c:v>
                </c:pt>
                <c:pt idx="141">
                  <c:v>4.7030000000000002E-2</c:v>
                </c:pt>
                <c:pt idx="142">
                  <c:v>4.7060000000000005E-2</c:v>
                </c:pt>
                <c:pt idx="143">
                  <c:v>4.7080000000000004E-2</c:v>
                </c:pt>
                <c:pt idx="144">
                  <c:v>4.7109999999999999E-2</c:v>
                </c:pt>
                <c:pt idx="145">
                  <c:v>4.7130000000000005E-2</c:v>
                </c:pt>
                <c:pt idx="146">
                  <c:v>4.7150000000000004E-2</c:v>
                </c:pt>
                <c:pt idx="147">
                  <c:v>4.7170000000000004E-2</c:v>
                </c:pt>
                <c:pt idx="148">
                  <c:v>4.7199999999999999E-2</c:v>
                </c:pt>
                <c:pt idx="149">
                  <c:v>4.7220000000000005E-2</c:v>
                </c:pt>
              </c:numCache>
            </c:numRef>
          </c:val>
          <c:smooth val="0"/>
        </c:ser>
        <c:ser>
          <c:idx val="8"/>
          <c:order val="5"/>
          <c:tx>
            <c:strRef>
              <c:f>RFR!$J$1</c:f>
              <c:strCache>
                <c:ptCount val="1"/>
                <c:pt idx="0">
                  <c:v>YCD-up</c:v>
                </c:pt>
              </c:strCache>
            </c:strRef>
          </c:tx>
          <c:marker>
            <c:symbol val="none"/>
          </c:marker>
          <c:val>
            <c:numRef>
              <c:f>RFR!$J$2:$J$151</c:f>
              <c:numCache>
                <c:formatCode>0\.00000%</c:formatCode>
                <c:ptCount val="150"/>
                <c:pt idx="0">
                  <c:v>5.3100000000000005E-3</c:v>
                </c:pt>
                <c:pt idx="1">
                  <c:v>4.7600000000000003E-3</c:v>
                </c:pt>
                <c:pt idx="2">
                  <c:v>5.1200000000000004E-3</c:v>
                </c:pt>
                <c:pt idx="3">
                  <c:v>5.8100000000000001E-3</c:v>
                </c:pt>
                <c:pt idx="4">
                  <c:v>6.5400000000000007E-3</c:v>
                </c:pt>
                <c:pt idx="5">
                  <c:v>7.2399999999999999E-3</c:v>
                </c:pt>
                <c:pt idx="6">
                  <c:v>7.92E-3</c:v>
                </c:pt>
                <c:pt idx="7">
                  <c:v>8.5699999999999995E-3</c:v>
                </c:pt>
                <c:pt idx="8">
                  <c:v>9.2200000000000008E-3</c:v>
                </c:pt>
                <c:pt idx="9">
                  <c:v>9.8600000000000007E-3</c:v>
                </c:pt>
                <c:pt idx="10">
                  <c:v>1.0500000000000001E-2</c:v>
                </c:pt>
                <c:pt idx="11">
                  <c:v>1.1130000000000001E-2</c:v>
                </c:pt>
                <c:pt idx="12">
                  <c:v>1.175E-2</c:v>
                </c:pt>
                <c:pt idx="13">
                  <c:v>1.234E-2</c:v>
                </c:pt>
                <c:pt idx="14">
                  <c:v>1.291E-2</c:v>
                </c:pt>
                <c:pt idx="15">
                  <c:v>1.346E-2</c:v>
                </c:pt>
                <c:pt idx="16">
                  <c:v>1.3989999999999999E-2</c:v>
                </c:pt>
                <c:pt idx="17">
                  <c:v>1.4499999999999999E-2</c:v>
                </c:pt>
                <c:pt idx="18">
                  <c:v>1.499E-2</c:v>
                </c:pt>
                <c:pt idx="19">
                  <c:v>1.546E-2</c:v>
                </c:pt>
                <c:pt idx="20">
                  <c:v>1.5910000000000001E-2</c:v>
                </c:pt>
                <c:pt idx="21">
                  <c:v>1.635E-2</c:v>
                </c:pt>
                <c:pt idx="22">
                  <c:v>1.677E-2</c:v>
                </c:pt>
                <c:pt idx="23">
                  <c:v>1.7170000000000001E-2</c:v>
                </c:pt>
                <c:pt idx="24">
                  <c:v>1.7559999999999999E-2</c:v>
                </c:pt>
                <c:pt idx="25">
                  <c:v>1.7930000000000001E-2</c:v>
                </c:pt>
                <c:pt idx="26">
                  <c:v>1.8279999999999998E-2</c:v>
                </c:pt>
                <c:pt idx="27">
                  <c:v>1.8619999999999998E-2</c:v>
                </c:pt>
                <c:pt idx="28">
                  <c:v>1.8939999999999999E-2</c:v>
                </c:pt>
                <c:pt idx="29">
                  <c:v>1.925E-2</c:v>
                </c:pt>
                <c:pt idx="30">
                  <c:v>1.9549999999999998E-2</c:v>
                </c:pt>
                <c:pt idx="31">
                  <c:v>1.983E-2</c:v>
                </c:pt>
                <c:pt idx="32">
                  <c:v>2.01E-2</c:v>
                </c:pt>
                <c:pt idx="33">
                  <c:v>2.036E-2</c:v>
                </c:pt>
                <c:pt idx="34">
                  <c:v>2.061E-2</c:v>
                </c:pt>
                <c:pt idx="35">
                  <c:v>2.085E-2</c:v>
                </c:pt>
                <c:pt idx="36">
                  <c:v>2.1080000000000002E-2</c:v>
                </c:pt>
                <c:pt idx="37">
                  <c:v>2.1299999999999999E-2</c:v>
                </c:pt>
                <c:pt idx="38">
                  <c:v>2.1510000000000001E-2</c:v>
                </c:pt>
                <c:pt idx="39">
                  <c:v>2.171E-2</c:v>
                </c:pt>
                <c:pt idx="40">
                  <c:v>2.1900000000000003E-2</c:v>
                </c:pt>
                <c:pt idx="41">
                  <c:v>2.2089999999999999E-2</c:v>
                </c:pt>
                <c:pt idx="42">
                  <c:v>2.2269999999999998E-2</c:v>
                </c:pt>
                <c:pt idx="43">
                  <c:v>2.2440000000000002E-2</c:v>
                </c:pt>
                <c:pt idx="44">
                  <c:v>2.2609999999999998E-2</c:v>
                </c:pt>
                <c:pt idx="45">
                  <c:v>2.2760000000000002E-2</c:v>
                </c:pt>
                <c:pt idx="46">
                  <c:v>2.2919999999999999E-2</c:v>
                </c:pt>
                <c:pt idx="47">
                  <c:v>2.307E-2</c:v>
                </c:pt>
                <c:pt idx="48">
                  <c:v>2.3210000000000001E-2</c:v>
                </c:pt>
                <c:pt idx="49">
                  <c:v>2.3350000000000003E-2</c:v>
                </c:pt>
                <c:pt idx="50">
                  <c:v>2.3480000000000001E-2</c:v>
                </c:pt>
                <c:pt idx="51">
                  <c:v>2.3609999999999999E-2</c:v>
                </c:pt>
                <c:pt idx="52">
                  <c:v>2.3730000000000001E-2</c:v>
                </c:pt>
                <c:pt idx="53">
                  <c:v>2.385E-2</c:v>
                </c:pt>
                <c:pt idx="54">
                  <c:v>2.3969999999999998E-2</c:v>
                </c:pt>
                <c:pt idx="55">
                  <c:v>2.4080000000000001E-2</c:v>
                </c:pt>
                <c:pt idx="56">
                  <c:v>2.419E-2</c:v>
                </c:pt>
                <c:pt idx="57">
                  <c:v>2.4289999999999999E-2</c:v>
                </c:pt>
                <c:pt idx="58">
                  <c:v>2.4390000000000002E-2</c:v>
                </c:pt>
                <c:pt idx="59">
                  <c:v>2.4489999999999998E-2</c:v>
                </c:pt>
                <c:pt idx="60">
                  <c:v>2.4590000000000001E-2</c:v>
                </c:pt>
                <c:pt idx="61">
                  <c:v>2.4680000000000001E-2</c:v>
                </c:pt>
                <c:pt idx="62">
                  <c:v>2.477E-2</c:v>
                </c:pt>
                <c:pt idx="63">
                  <c:v>2.4850000000000001E-2</c:v>
                </c:pt>
                <c:pt idx="64">
                  <c:v>2.494E-2</c:v>
                </c:pt>
                <c:pt idx="65">
                  <c:v>2.5020000000000001E-2</c:v>
                </c:pt>
                <c:pt idx="66">
                  <c:v>2.5100000000000001E-2</c:v>
                </c:pt>
                <c:pt idx="67">
                  <c:v>2.5180000000000001E-2</c:v>
                </c:pt>
                <c:pt idx="68">
                  <c:v>2.5250000000000002E-2</c:v>
                </c:pt>
                <c:pt idx="69">
                  <c:v>2.5320000000000002E-2</c:v>
                </c:pt>
                <c:pt idx="70">
                  <c:v>2.5389999999999999E-2</c:v>
                </c:pt>
                <c:pt idx="71">
                  <c:v>2.546E-2</c:v>
                </c:pt>
                <c:pt idx="72">
                  <c:v>2.5530000000000001E-2</c:v>
                </c:pt>
                <c:pt idx="73">
                  <c:v>2.5599999999999998E-2</c:v>
                </c:pt>
                <c:pt idx="74">
                  <c:v>2.5660000000000002E-2</c:v>
                </c:pt>
                <c:pt idx="75">
                  <c:v>2.572E-2</c:v>
                </c:pt>
                <c:pt idx="76">
                  <c:v>2.5779999999999997E-2</c:v>
                </c:pt>
                <c:pt idx="77">
                  <c:v>2.5840000000000002E-2</c:v>
                </c:pt>
                <c:pt idx="78">
                  <c:v>2.5899999999999999E-2</c:v>
                </c:pt>
                <c:pt idx="79">
                  <c:v>2.5950000000000001E-2</c:v>
                </c:pt>
                <c:pt idx="80">
                  <c:v>2.6009999999999998E-2</c:v>
                </c:pt>
                <c:pt idx="81">
                  <c:v>2.606E-2</c:v>
                </c:pt>
                <c:pt idx="82">
                  <c:v>2.6110000000000001E-2</c:v>
                </c:pt>
                <c:pt idx="83">
                  <c:v>2.6160000000000003E-2</c:v>
                </c:pt>
                <c:pt idx="84">
                  <c:v>2.6209999999999997E-2</c:v>
                </c:pt>
                <c:pt idx="85">
                  <c:v>2.6259999999999999E-2</c:v>
                </c:pt>
                <c:pt idx="86">
                  <c:v>2.631E-2</c:v>
                </c:pt>
                <c:pt idx="87">
                  <c:v>2.6360000000000001E-2</c:v>
                </c:pt>
                <c:pt idx="88">
                  <c:v>2.64E-2</c:v>
                </c:pt>
                <c:pt idx="89">
                  <c:v>2.6450000000000001E-2</c:v>
                </c:pt>
                <c:pt idx="90">
                  <c:v>2.649E-2</c:v>
                </c:pt>
                <c:pt idx="91">
                  <c:v>2.6529999999999998E-2</c:v>
                </c:pt>
                <c:pt idx="92">
                  <c:v>2.6570000000000003E-2</c:v>
                </c:pt>
                <c:pt idx="93">
                  <c:v>2.6610000000000002E-2</c:v>
                </c:pt>
                <c:pt idx="94">
                  <c:v>2.665E-2</c:v>
                </c:pt>
                <c:pt idx="95">
                  <c:v>2.6689999999999998E-2</c:v>
                </c:pt>
                <c:pt idx="96">
                  <c:v>2.6729999999999997E-2</c:v>
                </c:pt>
                <c:pt idx="97">
                  <c:v>2.6770000000000002E-2</c:v>
                </c:pt>
                <c:pt idx="98">
                  <c:v>2.6799999999999997E-2</c:v>
                </c:pt>
                <c:pt idx="99">
                  <c:v>2.6840000000000003E-2</c:v>
                </c:pt>
                <c:pt idx="100">
                  <c:v>2.6869999999999998E-2</c:v>
                </c:pt>
                <c:pt idx="101">
                  <c:v>2.6910000000000003E-2</c:v>
                </c:pt>
                <c:pt idx="102">
                  <c:v>2.6939999999999999E-2</c:v>
                </c:pt>
                <c:pt idx="103">
                  <c:v>2.6979999999999997E-2</c:v>
                </c:pt>
                <c:pt idx="104">
                  <c:v>2.7009999999999999E-2</c:v>
                </c:pt>
                <c:pt idx="105">
                  <c:v>2.7040000000000002E-2</c:v>
                </c:pt>
                <c:pt idx="106">
                  <c:v>2.7069999999999997E-2</c:v>
                </c:pt>
                <c:pt idx="107">
                  <c:v>2.7099999999999999E-2</c:v>
                </c:pt>
                <c:pt idx="108">
                  <c:v>2.7130000000000001E-2</c:v>
                </c:pt>
                <c:pt idx="109">
                  <c:v>2.7160000000000004E-2</c:v>
                </c:pt>
                <c:pt idx="110">
                  <c:v>2.7189999999999999E-2</c:v>
                </c:pt>
                <c:pt idx="111">
                  <c:v>2.7220000000000001E-2</c:v>
                </c:pt>
                <c:pt idx="112">
                  <c:v>2.7250000000000003E-2</c:v>
                </c:pt>
                <c:pt idx="113">
                  <c:v>2.7279999999999999E-2</c:v>
                </c:pt>
                <c:pt idx="114">
                  <c:v>2.7299999999999998E-2</c:v>
                </c:pt>
                <c:pt idx="115">
                  <c:v>2.733E-2</c:v>
                </c:pt>
                <c:pt idx="116">
                  <c:v>2.7360000000000002E-2</c:v>
                </c:pt>
                <c:pt idx="117">
                  <c:v>2.7380000000000002E-2</c:v>
                </c:pt>
                <c:pt idx="118">
                  <c:v>2.7409999999999997E-2</c:v>
                </c:pt>
                <c:pt idx="119">
                  <c:v>2.7430000000000003E-2</c:v>
                </c:pt>
                <c:pt idx="120">
                  <c:v>2.7459999999999998E-2</c:v>
                </c:pt>
                <c:pt idx="121">
                  <c:v>2.7479999999999997E-2</c:v>
                </c:pt>
                <c:pt idx="122">
                  <c:v>2.7500000000000004E-2</c:v>
                </c:pt>
                <c:pt idx="123">
                  <c:v>2.7529999999999999E-2</c:v>
                </c:pt>
                <c:pt idx="124">
                  <c:v>2.7549999999999998E-2</c:v>
                </c:pt>
                <c:pt idx="125">
                  <c:v>2.7569999999999997E-2</c:v>
                </c:pt>
                <c:pt idx="126">
                  <c:v>2.76E-2</c:v>
                </c:pt>
                <c:pt idx="127">
                  <c:v>2.7619999999999999E-2</c:v>
                </c:pt>
                <c:pt idx="128">
                  <c:v>2.7639999999999998E-2</c:v>
                </c:pt>
                <c:pt idx="129">
                  <c:v>2.7659999999999997E-2</c:v>
                </c:pt>
                <c:pt idx="130">
                  <c:v>2.7680000000000003E-2</c:v>
                </c:pt>
                <c:pt idx="131">
                  <c:v>2.7700000000000002E-2</c:v>
                </c:pt>
                <c:pt idx="132">
                  <c:v>2.7720000000000002E-2</c:v>
                </c:pt>
                <c:pt idx="133">
                  <c:v>2.7740000000000001E-2</c:v>
                </c:pt>
                <c:pt idx="134">
                  <c:v>2.776E-2</c:v>
                </c:pt>
                <c:pt idx="135">
                  <c:v>2.7779999999999999E-2</c:v>
                </c:pt>
                <c:pt idx="136">
                  <c:v>2.7799999999999998E-2</c:v>
                </c:pt>
                <c:pt idx="137">
                  <c:v>2.7819999999999998E-2</c:v>
                </c:pt>
                <c:pt idx="138">
                  <c:v>2.7840000000000004E-2</c:v>
                </c:pt>
                <c:pt idx="139">
                  <c:v>2.7860000000000003E-2</c:v>
                </c:pt>
                <c:pt idx="140">
                  <c:v>2.7869999999999999E-2</c:v>
                </c:pt>
                <c:pt idx="141">
                  <c:v>2.7889999999999998E-2</c:v>
                </c:pt>
                <c:pt idx="142">
                  <c:v>2.7909999999999997E-2</c:v>
                </c:pt>
                <c:pt idx="143">
                  <c:v>2.7930000000000003E-2</c:v>
                </c:pt>
                <c:pt idx="144">
                  <c:v>2.794E-2</c:v>
                </c:pt>
                <c:pt idx="145">
                  <c:v>2.7959999999999999E-2</c:v>
                </c:pt>
                <c:pt idx="146">
                  <c:v>2.7979999999999998E-2</c:v>
                </c:pt>
                <c:pt idx="147">
                  <c:v>2.7990000000000001E-2</c:v>
                </c:pt>
                <c:pt idx="148">
                  <c:v>2.801E-2</c:v>
                </c:pt>
                <c:pt idx="149">
                  <c:v>2.8029999999999999E-2</c:v>
                </c:pt>
              </c:numCache>
            </c:numRef>
          </c:val>
          <c:smooth val="0"/>
        </c:ser>
        <c:ser>
          <c:idx val="12"/>
          <c:order val="6"/>
          <c:tx>
            <c:strRef>
              <c:f>RFR!$N$1</c:f>
              <c:strCache>
                <c:ptCount val="1"/>
                <c:pt idx="0">
                  <c:v>BaseLine-down</c:v>
                </c:pt>
              </c:strCache>
            </c:strRef>
          </c:tx>
          <c:marker>
            <c:symbol val="none"/>
          </c:marker>
          <c:val>
            <c:numRef>
              <c:f>RFR!$N$2:$N$151</c:f>
              <c:numCache>
                <c:formatCode>0\.00000%</c:formatCode>
                <c:ptCount val="150"/>
                <c:pt idx="0">
                  <c:v>-3.5799999999999998E-3</c:v>
                </c:pt>
                <c:pt idx="1">
                  <c:v>-2.5000000000000001E-3</c:v>
                </c:pt>
                <c:pt idx="2">
                  <c:v>-8.8000000000000003E-4</c:v>
                </c:pt>
                <c:pt idx="3">
                  <c:v>3.4499999999999998E-4</c:v>
                </c:pt>
                <c:pt idx="4">
                  <c:v>1.1286E-3</c:v>
                </c:pt>
                <c:pt idx="5">
                  <c:v>2.0125999999999998E-3</c:v>
                </c:pt>
                <c:pt idx="6">
                  <c:v>2.8608999999999996E-3</c:v>
                </c:pt>
                <c:pt idx="7">
                  <c:v>3.7440000000000004E-3</c:v>
                </c:pt>
                <c:pt idx="8">
                  <c:v>4.6564999999999992E-3</c:v>
                </c:pt>
                <c:pt idx="9">
                  <c:v>5.5338000000000002E-3</c:v>
                </c:pt>
                <c:pt idx="10">
                  <c:v>6.2789999999999999E-3</c:v>
                </c:pt>
                <c:pt idx="11">
                  <c:v>6.9722000000000004E-3</c:v>
                </c:pt>
                <c:pt idx="12">
                  <c:v>7.6248000000000002E-3</c:v>
                </c:pt>
                <c:pt idx="13">
                  <c:v>8.0999999999999996E-3</c:v>
                </c:pt>
                <c:pt idx="14">
                  <c:v>8.5920999999999983E-3</c:v>
                </c:pt>
                <c:pt idx="15">
                  <c:v>8.7624E-3</c:v>
                </c:pt>
                <c:pt idx="16">
                  <c:v>8.9927999999999987E-3</c:v>
                </c:pt>
                <c:pt idx="17">
                  <c:v>9.2160000000000002E-3</c:v>
                </c:pt>
                <c:pt idx="18">
                  <c:v>9.3436000000000005E-3</c:v>
                </c:pt>
                <c:pt idx="19">
                  <c:v>9.6346999999999995E-3</c:v>
                </c:pt>
                <c:pt idx="20">
                  <c:v>1.0014902857142858E-2</c:v>
                </c:pt>
                <c:pt idx="21">
                  <c:v>1.0432045714285715E-2</c:v>
                </c:pt>
                <c:pt idx="22">
                  <c:v>1.0879182857142858E-2</c:v>
                </c:pt>
                <c:pt idx="23">
                  <c:v>1.1342165714285713E-2</c:v>
                </c:pt>
                <c:pt idx="24">
                  <c:v>1.1813907142857145E-2</c:v>
                </c:pt>
                <c:pt idx="25">
                  <c:v>1.2294445714285713E-2</c:v>
                </c:pt>
                <c:pt idx="26">
                  <c:v>1.2762249999999999E-2</c:v>
                </c:pt>
                <c:pt idx="27">
                  <c:v>1.3231648571428571E-2</c:v>
                </c:pt>
                <c:pt idx="28">
                  <c:v>1.3688209999999999E-2</c:v>
                </c:pt>
                <c:pt idx="29">
                  <c:v>1.4139085714285713E-2</c:v>
                </c:pt>
                <c:pt idx="30">
                  <c:v>1.4576995714285713E-2</c:v>
                </c:pt>
                <c:pt idx="31">
                  <c:v>1.5009117142857142E-2</c:v>
                </c:pt>
                <c:pt idx="32">
                  <c:v>1.5420877142857141E-2</c:v>
                </c:pt>
                <c:pt idx="33">
                  <c:v>1.5826719999999996E-2</c:v>
                </c:pt>
                <c:pt idx="34">
                  <c:v>1.6212021428571428E-2</c:v>
                </c:pt>
                <c:pt idx="35">
                  <c:v>1.6591277142857141E-2</c:v>
                </c:pt>
                <c:pt idx="36">
                  <c:v>1.6957129999999997E-2</c:v>
                </c:pt>
                <c:pt idx="37">
                  <c:v>1.7316834285714282E-2</c:v>
                </c:pt>
                <c:pt idx="38">
                  <c:v>1.7655662857142852E-2</c:v>
                </c:pt>
                <c:pt idx="39">
                  <c:v>1.7988214285714281E-2</c:v>
                </c:pt>
                <c:pt idx="40">
                  <c:v>1.8314449999999996E-2</c:v>
                </c:pt>
                <c:pt idx="41">
                  <c:v>1.8626948571428568E-2</c:v>
                </c:pt>
                <c:pt idx="42">
                  <c:v>1.8925632857142854E-2</c:v>
                </c:pt>
                <c:pt idx="43">
                  <c:v>1.9217834285714282E-2</c:v>
                </c:pt>
                <c:pt idx="44">
                  <c:v>1.9503514285714282E-2</c:v>
                </c:pt>
                <c:pt idx="45">
                  <c:v>1.9775199999999993E-2</c:v>
                </c:pt>
                <c:pt idx="46">
                  <c:v>2.0047708571428569E-2</c:v>
                </c:pt>
                <c:pt idx="47">
                  <c:v>2.0306119999999997E-2</c:v>
                </c:pt>
                <c:pt idx="48">
                  <c:v>2.0557829999999996E-2</c:v>
                </c:pt>
                <c:pt idx="49">
                  <c:v>2.0802799999999993E-2</c:v>
                </c:pt>
                <c:pt idx="50">
                  <c:v>2.1040991428571423E-2</c:v>
                </c:pt>
                <c:pt idx="51">
                  <c:v>2.1272365714285708E-2</c:v>
                </c:pt>
                <c:pt idx="52">
                  <c:v>2.1496884285714279E-2</c:v>
                </c:pt>
                <c:pt idx="53">
                  <c:v>2.1714508571428565E-2</c:v>
                </c:pt>
                <c:pt idx="54">
                  <c:v>2.1932749999999994E-2</c:v>
                </c:pt>
                <c:pt idx="55">
                  <c:v>2.2144045714285708E-2</c:v>
                </c:pt>
                <c:pt idx="56">
                  <c:v>2.2340781428571422E-2</c:v>
                </c:pt>
                <c:pt idx="57">
                  <c:v>2.2545645714285707E-2</c:v>
                </c:pt>
                <c:pt idx="58">
                  <c:v>2.2735872857142847E-2</c:v>
                </c:pt>
                <c:pt idx="59">
                  <c:v>2.292661428571428E-2</c:v>
                </c:pt>
                <c:pt idx="60">
                  <c:v>2.3110242857142849E-2</c:v>
                </c:pt>
                <c:pt idx="61">
                  <c:v>2.3294359999999993E-2</c:v>
                </c:pt>
                <c:pt idx="62">
                  <c:v>2.3471312857142847E-2</c:v>
                </c:pt>
                <c:pt idx="63">
                  <c:v>2.3641062857142847E-2</c:v>
                </c:pt>
                <c:pt idx="64">
                  <c:v>2.3811249999999992E-2</c:v>
                </c:pt>
                <c:pt idx="65">
                  <c:v>2.3981874285714275E-2</c:v>
                </c:pt>
                <c:pt idx="66">
                  <c:v>2.4145231428571418E-2</c:v>
                </c:pt>
                <c:pt idx="67">
                  <c:v>2.4301282857142843E-2</c:v>
                </c:pt>
                <c:pt idx="68">
                  <c:v>2.4457719999999992E-2</c:v>
                </c:pt>
                <c:pt idx="69">
                  <c:v>2.4614542857142846E-2</c:v>
                </c:pt>
                <c:pt idx="70">
                  <c:v>2.4763995714285704E-2</c:v>
                </c:pt>
                <c:pt idx="71">
                  <c:v>2.491380857142856E-2</c:v>
                </c:pt>
                <c:pt idx="72">
                  <c:v>2.506398142857142E-2</c:v>
                </c:pt>
                <c:pt idx="73">
                  <c:v>2.5206719999999988E-2</c:v>
                </c:pt>
                <c:pt idx="74">
                  <c:v>2.5349792857142846E-2</c:v>
                </c:pt>
                <c:pt idx="75">
                  <c:v>2.5485379999999988E-2</c:v>
                </c:pt>
                <c:pt idx="76">
                  <c:v>2.5621275714285706E-2</c:v>
                </c:pt>
                <c:pt idx="77">
                  <c:v>2.5757479999999985E-2</c:v>
                </c:pt>
                <c:pt idx="78">
                  <c:v>2.5893992857142844E-2</c:v>
                </c:pt>
                <c:pt idx="79">
                  <c:v>2.6022942857142843E-2</c:v>
                </c:pt>
                <c:pt idx="80">
                  <c:v>2.61521757142857E-2</c:v>
                </c:pt>
                <c:pt idx="81">
                  <c:v>2.6281691428571414E-2</c:v>
                </c:pt>
                <c:pt idx="82">
                  <c:v>2.6403579999999986E-2</c:v>
                </c:pt>
                <c:pt idx="83">
                  <c:v>2.6525725714285703E-2</c:v>
                </c:pt>
                <c:pt idx="84">
                  <c:v>2.6648128571428557E-2</c:v>
                </c:pt>
                <c:pt idx="85">
                  <c:v>2.6770788571428557E-2</c:v>
                </c:pt>
                <c:pt idx="86">
                  <c:v>2.6893705714285697E-2</c:v>
                </c:pt>
                <c:pt idx="87">
                  <c:v>2.7008905714285696E-2</c:v>
                </c:pt>
                <c:pt idx="88">
                  <c:v>2.7124337142857127E-2</c:v>
                </c:pt>
                <c:pt idx="89">
                  <c:v>2.7239999999999997E-2</c:v>
                </c:pt>
                <c:pt idx="90">
                  <c:v>2.7311999999999996E-2</c:v>
                </c:pt>
                <c:pt idx="91">
                  <c:v>2.7376000000000001E-2</c:v>
                </c:pt>
                <c:pt idx="92">
                  <c:v>2.7439999999999999E-2</c:v>
                </c:pt>
                <c:pt idx="93">
                  <c:v>2.7511999999999998E-2</c:v>
                </c:pt>
                <c:pt idx="94">
                  <c:v>2.7576E-2</c:v>
                </c:pt>
                <c:pt idx="95">
                  <c:v>2.7632E-2</c:v>
                </c:pt>
                <c:pt idx="96">
                  <c:v>2.7695999999999998E-2</c:v>
                </c:pt>
                <c:pt idx="97">
                  <c:v>2.776E-2</c:v>
                </c:pt>
                <c:pt idx="98">
                  <c:v>2.7816E-2</c:v>
                </c:pt>
                <c:pt idx="99">
                  <c:v>2.7872000000000001E-2</c:v>
                </c:pt>
                <c:pt idx="100">
                  <c:v>2.7927999999999998E-2</c:v>
                </c:pt>
                <c:pt idx="101">
                  <c:v>2.7983999999999998E-2</c:v>
                </c:pt>
                <c:pt idx="102">
                  <c:v>2.8039999999999999E-2</c:v>
                </c:pt>
                <c:pt idx="103">
                  <c:v>2.8095999999999999E-2</c:v>
                </c:pt>
                <c:pt idx="104">
                  <c:v>2.8144000000000002E-2</c:v>
                </c:pt>
                <c:pt idx="105">
                  <c:v>2.8199999999999996E-2</c:v>
                </c:pt>
                <c:pt idx="106">
                  <c:v>2.8248000000000002E-2</c:v>
                </c:pt>
                <c:pt idx="107">
                  <c:v>2.8295999999999998E-2</c:v>
                </c:pt>
                <c:pt idx="108">
                  <c:v>2.8344000000000001E-2</c:v>
                </c:pt>
                <c:pt idx="109">
                  <c:v>2.8392000000000001E-2</c:v>
                </c:pt>
                <c:pt idx="110">
                  <c:v>2.844E-2</c:v>
                </c:pt>
                <c:pt idx="111">
                  <c:v>2.8488000000000003E-2</c:v>
                </c:pt>
                <c:pt idx="112">
                  <c:v>2.8527999999999998E-2</c:v>
                </c:pt>
                <c:pt idx="113">
                  <c:v>2.8576000000000001E-2</c:v>
                </c:pt>
                <c:pt idx="114">
                  <c:v>2.8616000000000003E-2</c:v>
                </c:pt>
                <c:pt idx="115">
                  <c:v>2.8664000000000002E-2</c:v>
                </c:pt>
                <c:pt idx="116">
                  <c:v>2.8704E-2</c:v>
                </c:pt>
                <c:pt idx="117">
                  <c:v>2.8743999999999999E-2</c:v>
                </c:pt>
                <c:pt idx="118">
                  <c:v>2.8783999999999997E-2</c:v>
                </c:pt>
                <c:pt idx="119">
                  <c:v>2.8823999999999999E-2</c:v>
                </c:pt>
                <c:pt idx="120">
                  <c:v>2.8864000000000001E-2</c:v>
                </c:pt>
                <c:pt idx="121">
                  <c:v>2.8904000000000003E-2</c:v>
                </c:pt>
                <c:pt idx="122">
                  <c:v>2.8943999999999998E-2</c:v>
                </c:pt>
                <c:pt idx="123">
                  <c:v>2.8976000000000002E-2</c:v>
                </c:pt>
                <c:pt idx="124">
                  <c:v>2.9015999999999997E-2</c:v>
                </c:pt>
                <c:pt idx="125">
                  <c:v>2.9048000000000001E-2</c:v>
                </c:pt>
                <c:pt idx="126">
                  <c:v>2.9088000000000003E-2</c:v>
                </c:pt>
                <c:pt idx="127">
                  <c:v>2.912E-2</c:v>
                </c:pt>
                <c:pt idx="128">
                  <c:v>2.9160000000000002E-2</c:v>
                </c:pt>
                <c:pt idx="129">
                  <c:v>2.9192000000000003E-2</c:v>
                </c:pt>
                <c:pt idx="130">
                  <c:v>2.9224E-2</c:v>
                </c:pt>
                <c:pt idx="131">
                  <c:v>2.9255999999999997E-2</c:v>
                </c:pt>
                <c:pt idx="132">
                  <c:v>2.9287999999999998E-2</c:v>
                </c:pt>
                <c:pt idx="133">
                  <c:v>2.9320000000000002E-2</c:v>
                </c:pt>
                <c:pt idx="134">
                  <c:v>2.9352E-2</c:v>
                </c:pt>
                <c:pt idx="135">
                  <c:v>2.9384E-2</c:v>
                </c:pt>
                <c:pt idx="136">
                  <c:v>2.9415999999999998E-2</c:v>
                </c:pt>
                <c:pt idx="137">
                  <c:v>2.9448000000000002E-2</c:v>
                </c:pt>
                <c:pt idx="138">
                  <c:v>2.9471999999999998E-2</c:v>
                </c:pt>
                <c:pt idx="139">
                  <c:v>2.9504000000000002E-2</c:v>
                </c:pt>
                <c:pt idx="140">
                  <c:v>2.9536E-2</c:v>
                </c:pt>
                <c:pt idx="141">
                  <c:v>2.9559999999999996E-2</c:v>
                </c:pt>
                <c:pt idx="142">
                  <c:v>2.9592E-2</c:v>
                </c:pt>
                <c:pt idx="143">
                  <c:v>2.9615999999999996E-2</c:v>
                </c:pt>
                <c:pt idx="144">
                  <c:v>2.9648000000000001E-2</c:v>
                </c:pt>
                <c:pt idx="145">
                  <c:v>2.9671999999999997E-2</c:v>
                </c:pt>
                <c:pt idx="146">
                  <c:v>2.9696E-2</c:v>
                </c:pt>
                <c:pt idx="147">
                  <c:v>2.9727999999999997E-2</c:v>
                </c:pt>
                <c:pt idx="148">
                  <c:v>2.9752000000000001E-2</c:v>
                </c:pt>
                <c:pt idx="149">
                  <c:v>2.9776000000000004E-2</c:v>
                </c:pt>
              </c:numCache>
            </c:numRef>
          </c:val>
          <c:smooth val="0"/>
        </c:ser>
        <c:ser>
          <c:idx val="13"/>
          <c:order val="7"/>
          <c:tx>
            <c:strRef>
              <c:f>RFR!$O$1</c:f>
              <c:strCache>
                <c:ptCount val="1"/>
                <c:pt idx="0">
                  <c:v>YCU-down</c:v>
                </c:pt>
              </c:strCache>
            </c:strRef>
          </c:tx>
          <c:marker>
            <c:symbol val="none"/>
          </c:marker>
          <c:val>
            <c:numRef>
              <c:f>RFR!$O$2:$O$151</c:f>
              <c:numCache>
                <c:formatCode>0\.00000%</c:formatCode>
                <c:ptCount val="150"/>
                <c:pt idx="0">
                  <c:v>3.2499999999999999E-4</c:v>
                </c:pt>
                <c:pt idx="1">
                  <c:v>2.1700000000000001E-3</c:v>
                </c:pt>
                <c:pt idx="2">
                  <c:v>3.9335999999999998E-3</c:v>
                </c:pt>
                <c:pt idx="3">
                  <c:v>5.3350000000000003E-3</c:v>
                </c:pt>
                <c:pt idx="4">
                  <c:v>6.5015999999999997E-3</c:v>
                </c:pt>
                <c:pt idx="5">
                  <c:v>7.6792000000000006E-3</c:v>
                </c:pt>
                <c:pt idx="6">
                  <c:v>8.7229999999999999E-3</c:v>
                </c:pt>
                <c:pt idx="7">
                  <c:v>9.7344000000000007E-3</c:v>
                </c:pt>
                <c:pt idx="8">
                  <c:v>1.07133E-2</c:v>
                </c:pt>
                <c:pt idx="9">
                  <c:v>1.1474699999999999E-2</c:v>
                </c:pt>
                <c:pt idx="10">
                  <c:v>1.2004999999999998E-2</c:v>
                </c:pt>
                <c:pt idx="11">
                  <c:v>1.2488900000000001E-2</c:v>
                </c:pt>
                <c:pt idx="12">
                  <c:v>1.2952799999999999E-2</c:v>
                </c:pt>
                <c:pt idx="13">
                  <c:v>1.32192E-2</c:v>
                </c:pt>
                <c:pt idx="14">
                  <c:v>1.36656E-2</c:v>
                </c:pt>
                <c:pt idx="15">
                  <c:v>1.3744799999999998E-2</c:v>
                </c:pt>
                <c:pt idx="16">
                  <c:v>1.4011200000000001E-2</c:v>
                </c:pt>
                <c:pt idx="17">
                  <c:v>1.42848E-2</c:v>
                </c:pt>
                <c:pt idx="18">
                  <c:v>1.4377500000000001E-2</c:v>
                </c:pt>
                <c:pt idx="19">
                  <c:v>1.46757E-2</c:v>
                </c:pt>
                <c:pt idx="20">
                  <c:v>1.5022354285714285E-2</c:v>
                </c:pt>
                <c:pt idx="21">
                  <c:v>1.5377291428571428E-2</c:v>
                </c:pt>
                <c:pt idx="22">
                  <c:v>1.5740549999999999E-2</c:v>
                </c:pt>
                <c:pt idx="23">
                  <c:v>1.6105017142857142E-2</c:v>
                </c:pt>
                <c:pt idx="24">
                  <c:v>1.6463528571428573E-2</c:v>
                </c:pt>
                <c:pt idx="25">
                  <c:v>1.6816045714285712E-2</c:v>
                </c:pt>
                <c:pt idx="26">
                  <c:v>1.7162529999999999E-2</c:v>
                </c:pt>
                <c:pt idx="27">
                  <c:v>1.7510145714285712E-2</c:v>
                </c:pt>
                <c:pt idx="28">
                  <c:v>1.7844461428571427E-2</c:v>
                </c:pt>
                <c:pt idx="29">
                  <c:v>1.8165399999999998E-2</c:v>
                </c:pt>
                <c:pt idx="30">
                  <c:v>1.8480125714285714E-2</c:v>
                </c:pt>
                <c:pt idx="31">
                  <c:v>1.8788599999999999E-2</c:v>
                </c:pt>
                <c:pt idx="32">
                  <c:v>1.9090784285714285E-2</c:v>
                </c:pt>
                <c:pt idx="33">
                  <c:v>1.9379359999999998E-2</c:v>
                </c:pt>
                <c:pt idx="34">
                  <c:v>1.9661542857142854E-2</c:v>
                </c:pt>
                <c:pt idx="35">
                  <c:v>1.9937294285714283E-2</c:v>
                </c:pt>
                <c:pt idx="36">
                  <c:v>2.0199257142857141E-2</c:v>
                </c:pt>
                <c:pt idx="37">
                  <c:v>2.0454685714285714E-2</c:v>
                </c:pt>
                <c:pt idx="38">
                  <c:v>2.0703541428571427E-2</c:v>
                </c:pt>
                <c:pt idx="39">
                  <c:v>2.0945785714285708E-2</c:v>
                </c:pt>
                <c:pt idx="40">
                  <c:v>2.118138E-2</c:v>
                </c:pt>
                <c:pt idx="41">
                  <c:v>2.1402902857142851E-2</c:v>
                </c:pt>
                <c:pt idx="42">
                  <c:v>2.1625068571428568E-2</c:v>
                </c:pt>
                <c:pt idx="43">
                  <c:v>2.1840468571428566E-2</c:v>
                </c:pt>
                <c:pt idx="44">
                  <c:v>2.2049064285714282E-2</c:v>
                </c:pt>
                <c:pt idx="45">
                  <c:v>2.2250817142857135E-2</c:v>
                </c:pt>
                <c:pt idx="46">
                  <c:v>2.245313571428571E-2</c:v>
                </c:pt>
                <c:pt idx="47">
                  <c:v>2.2641099999999994E-2</c:v>
                </c:pt>
                <c:pt idx="48">
                  <c:v>2.2829578571428567E-2</c:v>
                </c:pt>
                <c:pt idx="49">
                  <c:v>2.3011085714285708E-2</c:v>
                </c:pt>
                <c:pt idx="50">
                  <c:v>2.3193081428571422E-2</c:v>
                </c:pt>
                <c:pt idx="51">
                  <c:v>2.3360542857142851E-2</c:v>
                </c:pt>
                <c:pt idx="52">
                  <c:v>2.3535965714285709E-2</c:v>
                </c:pt>
                <c:pt idx="53">
                  <c:v>2.3696777142857138E-2</c:v>
                </c:pt>
                <c:pt idx="54">
                  <c:v>2.3857999999999997E-2</c:v>
                </c:pt>
                <c:pt idx="55">
                  <c:v>2.4019634285714277E-2</c:v>
                </c:pt>
                <c:pt idx="56">
                  <c:v>2.417410428571428E-2</c:v>
                </c:pt>
                <c:pt idx="57">
                  <c:v>2.4321371428571423E-2</c:v>
                </c:pt>
                <c:pt idx="58">
                  <c:v>2.4468998571428566E-2</c:v>
                </c:pt>
                <c:pt idx="59">
                  <c:v>2.4616985714285704E-2</c:v>
                </c:pt>
                <c:pt idx="60">
                  <c:v>2.4757705714285708E-2</c:v>
                </c:pt>
                <c:pt idx="61">
                  <c:v>2.4898759999999992E-2</c:v>
                </c:pt>
                <c:pt idx="62">
                  <c:v>2.5032495714285709E-2</c:v>
                </c:pt>
                <c:pt idx="63">
                  <c:v>2.5166539999999987E-2</c:v>
                </c:pt>
                <c:pt idx="64">
                  <c:v>2.5300892857142848E-2</c:v>
                </c:pt>
                <c:pt idx="65">
                  <c:v>2.5427862857142845E-2</c:v>
                </c:pt>
                <c:pt idx="66">
                  <c:v>2.5555115714285703E-2</c:v>
                </c:pt>
                <c:pt idx="67">
                  <c:v>2.5682651428571415E-2</c:v>
                </c:pt>
                <c:pt idx="68">
                  <c:v>2.5802739999999991E-2</c:v>
                </c:pt>
                <c:pt idx="69">
                  <c:v>2.5923085714285705E-2</c:v>
                </c:pt>
                <c:pt idx="70">
                  <c:v>2.604368857142856E-2</c:v>
                </c:pt>
                <c:pt idx="71">
                  <c:v>2.616454857142856E-2</c:v>
                </c:pt>
                <c:pt idx="72">
                  <c:v>2.6277884285714277E-2</c:v>
                </c:pt>
                <c:pt idx="73">
                  <c:v>2.6391451428571418E-2</c:v>
                </c:pt>
                <c:pt idx="74">
                  <c:v>2.6505249999999987E-2</c:v>
                </c:pt>
                <c:pt idx="75">
                  <c:v>2.6611459999999986E-2</c:v>
                </c:pt>
                <c:pt idx="76">
                  <c:v>2.6725708571428558E-2</c:v>
                </c:pt>
                <c:pt idx="77">
                  <c:v>2.6832342857142845E-2</c:v>
                </c:pt>
                <c:pt idx="78">
                  <c:v>2.6939182857142842E-2</c:v>
                </c:pt>
                <c:pt idx="79">
                  <c:v>2.7046228571428559E-2</c:v>
                </c:pt>
                <c:pt idx="80">
                  <c:v>2.7145595714285702E-2</c:v>
                </c:pt>
                <c:pt idx="81">
                  <c:v>2.7253039999999985E-2</c:v>
                </c:pt>
                <c:pt idx="82">
                  <c:v>2.7352779999999986E-2</c:v>
                </c:pt>
                <c:pt idx="83">
                  <c:v>2.7452699999999986E-2</c:v>
                </c:pt>
                <c:pt idx="84">
                  <c:v>2.7552799999999985E-2</c:v>
                </c:pt>
                <c:pt idx="85">
                  <c:v>2.7645131428571411E-2</c:v>
                </c:pt>
                <c:pt idx="86">
                  <c:v>2.7745578571428557E-2</c:v>
                </c:pt>
                <c:pt idx="87">
                  <c:v>2.7838231428571412E-2</c:v>
                </c:pt>
                <c:pt idx="88">
                  <c:v>2.7939025714285696E-2</c:v>
                </c:pt>
                <c:pt idx="89">
                  <c:v>2.8032000000000001E-2</c:v>
                </c:pt>
                <c:pt idx="90">
                  <c:v>2.8080000000000001E-2</c:v>
                </c:pt>
                <c:pt idx="91">
                  <c:v>2.8119999999999999E-2</c:v>
                </c:pt>
                <c:pt idx="92">
                  <c:v>2.8167999999999999E-2</c:v>
                </c:pt>
                <c:pt idx="93">
                  <c:v>2.8216000000000001E-2</c:v>
                </c:pt>
                <c:pt idx="94">
                  <c:v>2.8255999999999996E-2</c:v>
                </c:pt>
                <c:pt idx="95">
                  <c:v>2.8304000000000003E-2</c:v>
                </c:pt>
                <c:pt idx="96">
                  <c:v>2.8344000000000001E-2</c:v>
                </c:pt>
                <c:pt idx="97">
                  <c:v>2.8384E-2</c:v>
                </c:pt>
                <c:pt idx="98">
                  <c:v>2.8423999999999998E-2</c:v>
                </c:pt>
                <c:pt idx="99">
                  <c:v>2.8464E-2</c:v>
                </c:pt>
                <c:pt idx="100">
                  <c:v>2.8504000000000002E-2</c:v>
                </c:pt>
                <c:pt idx="101">
                  <c:v>2.8544000000000003E-2</c:v>
                </c:pt>
                <c:pt idx="102">
                  <c:v>2.8576000000000001E-2</c:v>
                </c:pt>
                <c:pt idx="103">
                  <c:v>2.8616000000000003E-2</c:v>
                </c:pt>
                <c:pt idx="104">
                  <c:v>2.8648E-2</c:v>
                </c:pt>
                <c:pt idx="105">
                  <c:v>2.8688000000000002E-2</c:v>
                </c:pt>
                <c:pt idx="106">
                  <c:v>2.8720000000000002E-2</c:v>
                </c:pt>
                <c:pt idx="107">
                  <c:v>2.8752E-2</c:v>
                </c:pt>
                <c:pt idx="108">
                  <c:v>2.8792000000000002E-2</c:v>
                </c:pt>
                <c:pt idx="109">
                  <c:v>2.8823999999999999E-2</c:v>
                </c:pt>
                <c:pt idx="110">
                  <c:v>2.8856E-2</c:v>
                </c:pt>
                <c:pt idx="111">
                  <c:v>2.8888000000000004E-2</c:v>
                </c:pt>
                <c:pt idx="112">
                  <c:v>2.8920000000000001E-2</c:v>
                </c:pt>
                <c:pt idx="113">
                  <c:v>2.8943999999999998E-2</c:v>
                </c:pt>
                <c:pt idx="114">
                  <c:v>2.8976000000000002E-2</c:v>
                </c:pt>
                <c:pt idx="115">
                  <c:v>2.9007999999999999E-2</c:v>
                </c:pt>
                <c:pt idx="116">
                  <c:v>2.9032000000000002E-2</c:v>
                </c:pt>
                <c:pt idx="117">
                  <c:v>2.9064E-2</c:v>
                </c:pt>
                <c:pt idx="118">
                  <c:v>2.9088000000000003E-2</c:v>
                </c:pt>
                <c:pt idx="119">
                  <c:v>2.912E-2</c:v>
                </c:pt>
                <c:pt idx="120">
                  <c:v>2.9143999999999996E-2</c:v>
                </c:pt>
                <c:pt idx="121">
                  <c:v>2.9176000000000001E-2</c:v>
                </c:pt>
                <c:pt idx="122">
                  <c:v>2.9199999999999997E-2</c:v>
                </c:pt>
                <c:pt idx="123">
                  <c:v>2.9224E-2</c:v>
                </c:pt>
                <c:pt idx="124">
                  <c:v>2.9248000000000003E-2</c:v>
                </c:pt>
                <c:pt idx="125">
                  <c:v>2.9271999999999999E-2</c:v>
                </c:pt>
                <c:pt idx="126">
                  <c:v>2.9295999999999999E-2</c:v>
                </c:pt>
                <c:pt idx="127">
                  <c:v>2.9328E-2</c:v>
                </c:pt>
                <c:pt idx="128">
                  <c:v>2.9343999999999999E-2</c:v>
                </c:pt>
                <c:pt idx="129">
                  <c:v>2.9367999999999998E-2</c:v>
                </c:pt>
                <c:pt idx="130">
                  <c:v>2.9392000000000001E-2</c:v>
                </c:pt>
                <c:pt idx="131">
                  <c:v>2.9415999999999998E-2</c:v>
                </c:pt>
                <c:pt idx="132">
                  <c:v>2.9440000000000001E-2</c:v>
                </c:pt>
                <c:pt idx="133">
                  <c:v>2.9464000000000001E-2</c:v>
                </c:pt>
                <c:pt idx="134">
                  <c:v>2.9479999999999999E-2</c:v>
                </c:pt>
                <c:pt idx="135">
                  <c:v>2.9504000000000002E-2</c:v>
                </c:pt>
                <c:pt idx="136">
                  <c:v>2.9527999999999999E-2</c:v>
                </c:pt>
                <c:pt idx="137">
                  <c:v>2.9543999999999997E-2</c:v>
                </c:pt>
                <c:pt idx="138">
                  <c:v>2.9568000000000001E-2</c:v>
                </c:pt>
                <c:pt idx="139">
                  <c:v>2.9583999999999999E-2</c:v>
                </c:pt>
                <c:pt idx="140">
                  <c:v>2.9608000000000002E-2</c:v>
                </c:pt>
                <c:pt idx="141">
                  <c:v>2.9624000000000001E-2</c:v>
                </c:pt>
                <c:pt idx="142">
                  <c:v>2.9648000000000001E-2</c:v>
                </c:pt>
                <c:pt idx="143">
                  <c:v>2.9664000000000003E-2</c:v>
                </c:pt>
                <c:pt idx="144">
                  <c:v>2.9687999999999999E-2</c:v>
                </c:pt>
                <c:pt idx="145">
                  <c:v>2.9704000000000001E-2</c:v>
                </c:pt>
                <c:pt idx="146">
                  <c:v>2.9720000000000003E-2</c:v>
                </c:pt>
                <c:pt idx="147">
                  <c:v>2.9736000000000002E-2</c:v>
                </c:pt>
                <c:pt idx="148">
                  <c:v>2.9759999999999998E-2</c:v>
                </c:pt>
                <c:pt idx="149">
                  <c:v>2.9776000000000004E-2</c:v>
                </c:pt>
              </c:numCache>
            </c:numRef>
          </c:val>
          <c:smooth val="0"/>
        </c:ser>
        <c:ser>
          <c:idx val="14"/>
          <c:order val="8"/>
          <c:tx>
            <c:strRef>
              <c:f>RFR!$P$1</c:f>
              <c:strCache>
                <c:ptCount val="1"/>
                <c:pt idx="0">
                  <c:v>YCD-down</c:v>
                </c:pt>
              </c:strCache>
            </c:strRef>
          </c:tx>
          <c:marker>
            <c:symbol val="none"/>
          </c:marker>
          <c:val>
            <c:numRef>
              <c:f>RFR!$P$2:$P$151</c:f>
              <c:numCache>
                <c:formatCode>0\.00000%</c:formatCode>
                <c:ptCount val="150"/>
                <c:pt idx="0">
                  <c:v>-4.6899999999999997E-3</c:v>
                </c:pt>
                <c:pt idx="1">
                  <c:v>-5.2399999999999999E-3</c:v>
                </c:pt>
                <c:pt idx="2">
                  <c:v>-4.8799999999999998E-3</c:v>
                </c:pt>
                <c:pt idx="3">
                  <c:v>-4.1900000000000001E-3</c:v>
                </c:pt>
                <c:pt idx="4">
                  <c:v>-3.46E-3</c:v>
                </c:pt>
                <c:pt idx="5">
                  <c:v>-2.7599999999999999E-3</c:v>
                </c:pt>
                <c:pt idx="6">
                  <c:v>-2.0799999999999998E-3</c:v>
                </c:pt>
                <c:pt idx="7">
                  <c:v>-1.4300000000000001E-3</c:v>
                </c:pt>
                <c:pt idx="8">
                  <c:v>-7.7999999999999999E-4</c:v>
                </c:pt>
                <c:pt idx="9">
                  <c:v>-1.3999999999999999E-4</c:v>
                </c:pt>
                <c:pt idx="10">
                  <c:v>3.5000000000000005E-4</c:v>
                </c:pt>
                <c:pt idx="11">
                  <c:v>8.0229999999999993E-4</c:v>
                </c:pt>
                <c:pt idx="12">
                  <c:v>1.2599999999999998E-3</c:v>
                </c:pt>
                <c:pt idx="13">
                  <c:v>1.6848E-3</c:v>
                </c:pt>
                <c:pt idx="14">
                  <c:v>2.1243E-3</c:v>
                </c:pt>
                <c:pt idx="15">
                  <c:v>2.4911999999999998E-3</c:v>
                </c:pt>
                <c:pt idx="16">
                  <c:v>2.8727999999999996E-3</c:v>
                </c:pt>
                <c:pt idx="17">
                  <c:v>3.2399999999999998E-3</c:v>
                </c:pt>
                <c:pt idx="18">
                  <c:v>3.5428999999999999E-3</c:v>
                </c:pt>
                <c:pt idx="19">
                  <c:v>3.8766E-3</c:v>
                </c:pt>
                <c:pt idx="20">
                  <c:v>4.2036985714285716E-3</c:v>
                </c:pt>
                <c:pt idx="21">
                  <c:v>4.524828571428571E-3</c:v>
                </c:pt>
                <c:pt idx="22">
                  <c:v>4.8328128571428573E-3</c:v>
                </c:pt>
                <c:pt idx="23">
                  <c:v>5.1275742857142858E-3</c:v>
                </c:pt>
                <c:pt idx="24">
                  <c:v>5.4161999999999995E-3</c:v>
                </c:pt>
                <c:pt idx="25">
                  <c:v>5.6914742857142857E-3</c:v>
                </c:pt>
                <c:pt idx="26">
                  <c:v>5.9533199999999998E-3</c:v>
                </c:pt>
                <c:pt idx="27">
                  <c:v>6.2088628571428557E-3</c:v>
                </c:pt>
                <c:pt idx="28">
                  <c:v>6.4508485714285715E-3</c:v>
                </c:pt>
                <c:pt idx="29">
                  <c:v>6.6864285714285706E-3</c:v>
                </c:pt>
                <c:pt idx="30">
                  <c:v>6.9155642857142846E-3</c:v>
                </c:pt>
                <c:pt idx="31">
                  <c:v>7.1309628571428561E-3</c:v>
                </c:pt>
                <c:pt idx="32">
                  <c:v>7.3398142857142848E-3</c:v>
                </c:pt>
                <c:pt idx="33">
                  <c:v>7.5420799999999988E-3</c:v>
                </c:pt>
                <c:pt idx="34">
                  <c:v>7.7377214285714278E-3</c:v>
                </c:pt>
                <c:pt idx="35">
                  <c:v>7.9266999999999983E-3</c:v>
                </c:pt>
                <c:pt idx="36">
                  <c:v>8.1089771428571409E-3</c:v>
                </c:pt>
                <c:pt idx="37">
                  <c:v>8.2845142857142836E-3</c:v>
                </c:pt>
                <c:pt idx="38">
                  <c:v>8.4532728571428545E-3</c:v>
                </c:pt>
                <c:pt idx="39">
                  <c:v>8.6152142857142851E-3</c:v>
                </c:pt>
                <c:pt idx="40">
                  <c:v>8.7702999999999982E-3</c:v>
                </c:pt>
                <c:pt idx="41">
                  <c:v>8.9258742857142841E-3</c:v>
                </c:pt>
                <c:pt idx="42">
                  <c:v>9.0745414285714268E-3</c:v>
                </c:pt>
                <c:pt idx="43">
                  <c:v>9.2162628571428561E-3</c:v>
                </c:pt>
                <c:pt idx="44">
                  <c:v>9.3584214285714271E-3</c:v>
                </c:pt>
                <c:pt idx="45">
                  <c:v>9.4861485714285692E-3</c:v>
                </c:pt>
                <c:pt idx="46">
                  <c:v>9.621708571428569E-3</c:v>
                </c:pt>
                <c:pt idx="47">
                  <c:v>9.7502199999999969E-3</c:v>
                </c:pt>
                <c:pt idx="48">
                  <c:v>9.8716442857142827E-3</c:v>
                </c:pt>
                <c:pt idx="49">
                  <c:v>9.9934285714285698E-3</c:v>
                </c:pt>
                <c:pt idx="50">
                  <c:v>1.0108074285714284E-2</c:v>
                </c:pt>
                <c:pt idx="51">
                  <c:v>1.0223054285714284E-2</c:v>
                </c:pt>
                <c:pt idx="52">
                  <c:v>1.0330844285714283E-2</c:v>
                </c:pt>
                <c:pt idx="53">
                  <c:v>1.0438942857142853E-2</c:v>
                </c:pt>
                <c:pt idx="54">
                  <c:v>1.0547349999999997E-2</c:v>
                </c:pt>
                <c:pt idx="55">
                  <c:v>1.0648502857142854E-2</c:v>
                </c:pt>
                <c:pt idx="56">
                  <c:v>1.0749938571428568E-2</c:v>
                </c:pt>
                <c:pt idx="57">
                  <c:v>1.084406857142857E-2</c:v>
                </c:pt>
                <c:pt idx="58">
                  <c:v>1.093845571428571E-2</c:v>
                </c:pt>
                <c:pt idx="59">
                  <c:v>1.1033099999999995E-2</c:v>
                </c:pt>
                <c:pt idx="60">
                  <c:v>1.1128001428571425E-2</c:v>
                </c:pt>
                <c:pt idx="61">
                  <c:v>1.1215519999999996E-2</c:v>
                </c:pt>
                <c:pt idx="62">
                  <c:v>1.1303269999999995E-2</c:v>
                </c:pt>
                <c:pt idx="63">
                  <c:v>1.138358571428571E-2</c:v>
                </c:pt>
                <c:pt idx="64">
                  <c:v>1.147178571428571E-2</c:v>
                </c:pt>
                <c:pt idx="65">
                  <c:v>1.155252571428571E-2</c:v>
                </c:pt>
                <c:pt idx="66">
                  <c:v>1.1633471428571424E-2</c:v>
                </c:pt>
                <c:pt idx="67">
                  <c:v>1.1714622857142854E-2</c:v>
                </c:pt>
                <c:pt idx="68">
                  <c:v>1.1788249999999995E-2</c:v>
                </c:pt>
                <c:pt idx="69">
                  <c:v>1.1862057142857138E-2</c:v>
                </c:pt>
                <c:pt idx="70">
                  <c:v>1.193604428571428E-2</c:v>
                </c:pt>
                <c:pt idx="71">
                  <c:v>1.2010211428571423E-2</c:v>
                </c:pt>
                <c:pt idx="72">
                  <c:v>1.2084558571428566E-2</c:v>
                </c:pt>
                <c:pt idx="73">
                  <c:v>1.2159085714285709E-2</c:v>
                </c:pt>
                <c:pt idx="74">
                  <c:v>1.2225985714285709E-2</c:v>
                </c:pt>
                <c:pt idx="75">
                  <c:v>1.2293039999999995E-2</c:v>
                </c:pt>
                <c:pt idx="76">
                  <c:v>1.2360248571428565E-2</c:v>
                </c:pt>
                <c:pt idx="77">
                  <c:v>1.2427611428571423E-2</c:v>
                </c:pt>
                <c:pt idx="78">
                  <c:v>1.2495128571428565E-2</c:v>
                </c:pt>
                <c:pt idx="79">
                  <c:v>1.2554928571428564E-2</c:v>
                </c:pt>
                <c:pt idx="80">
                  <c:v>1.2622741428571421E-2</c:v>
                </c:pt>
                <c:pt idx="81">
                  <c:v>1.2682811428571424E-2</c:v>
                </c:pt>
                <c:pt idx="82">
                  <c:v>1.2743009999999992E-2</c:v>
                </c:pt>
                <c:pt idx="83">
                  <c:v>1.2803337142857137E-2</c:v>
                </c:pt>
                <c:pt idx="84">
                  <c:v>1.2863792857142849E-2</c:v>
                </c:pt>
                <c:pt idx="85">
                  <c:v>1.2924377142857137E-2</c:v>
                </c:pt>
                <c:pt idx="86">
                  <c:v>1.2985089999999994E-2</c:v>
                </c:pt>
                <c:pt idx="87">
                  <c:v>1.3045931428571422E-2</c:v>
                </c:pt>
                <c:pt idx="88">
                  <c:v>1.309891428571428E-2</c:v>
                </c:pt>
                <c:pt idx="89">
                  <c:v>1.316E-2</c:v>
                </c:pt>
                <c:pt idx="90">
                  <c:v>1.3192000000000001E-2</c:v>
                </c:pt>
                <c:pt idx="91">
                  <c:v>1.3224E-2</c:v>
                </c:pt>
                <c:pt idx="92">
                  <c:v>1.3256E-2</c:v>
                </c:pt>
                <c:pt idx="93">
                  <c:v>1.3287999999999999E-2</c:v>
                </c:pt>
                <c:pt idx="94">
                  <c:v>1.3320000000000002E-2</c:v>
                </c:pt>
                <c:pt idx="95">
                  <c:v>1.3351999999999999E-2</c:v>
                </c:pt>
                <c:pt idx="96">
                  <c:v>1.3383999999999998E-2</c:v>
                </c:pt>
                <c:pt idx="97">
                  <c:v>1.3416000000000001E-2</c:v>
                </c:pt>
                <c:pt idx="98">
                  <c:v>1.3439999999999999E-2</c:v>
                </c:pt>
                <c:pt idx="99">
                  <c:v>1.3472000000000001E-2</c:v>
                </c:pt>
                <c:pt idx="100">
                  <c:v>1.3495999999999999E-2</c:v>
                </c:pt>
                <c:pt idx="101">
                  <c:v>1.3528000000000002E-2</c:v>
                </c:pt>
                <c:pt idx="102">
                  <c:v>1.3552E-2</c:v>
                </c:pt>
                <c:pt idx="103">
                  <c:v>1.3583999999999999E-2</c:v>
                </c:pt>
                <c:pt idx="104">
                  <c:v>1.3608E-2</c:v>
                </c:pt>
                <c:pt idx="105">
                  <c:v>1.3632E-2</c:v>
                </c:pt>
                <c:pt idx="106">
                  <c:v>1.3655999999999998E-2</c:v>
                </c:pt>
                <c:pt idx="107">
                  <c:v>1.3680000000000001E-2</c:v>
                </c:pt>
                <c:pt idx="108">
                  <c:v>1.3703999999999999E-2</c:v>
                </c:pt>
                <c:pt idx="109">
                  <c:v>1.3728000000000001E-2</c:v>
                </c:pt>
                <c:pt idx="110">
                  <c:v>1.3752E-2</c:v>
                </c:pt>
                <c:pt idx="111">
                  <c:v>1.3776E-2</c:v>
                </c:pt>
                <c:pt idx="112">
                  <c:v>1.3800000000000002E-2</c:v>
                </c:pt>
                <c:pt idx="113">
                  <c:v>1.3823999999999999E-2</c:v>
                </c:pt>
                <c:pt idx="114">
                  <c:v>1.384E-2</c:v>
                </c:pt>
                <c:pt idx="115">
                  <c:v>1.3864000000000001E-2</c:v>
                </c:pt>
                <c:pt idx="116">
                  <c:v>1.3888000000000001E-2</c:v>
                </c:pt>
                <c:pt idx="117">
                  <c:v>1.3904E-2</c:v>
                </c:pt>
                <c:pt idx="118">
                  <c:v>1.3927999999999999E-2</c:v>
                </c:pt>
                <c:pt idx="119">
                  <c:v>1.3944000000000002E-2</c:v>
                </c:pt>
                <c:pt idx="120">
                  <c:v>1.3968E-2</c:v>
                </c:pt>
                <c:pt idx="121">
                  <c:v>1.3984E-2</c:v>
                </c:pt>
                <c:pt idx="122">
                  <c:v>1.4000000000000002E-2</c:v>
                </c:pt>
                <c:pt idx="123">
                  <c:v>1.4024E-2</c:v>
                </c:pt>
                <c:pt idx="124">
                  <c:v>1.404E-2</c:v>
                </c:pt>
                <c:pt idx="125">
                  <c:v>1.4055999999999999E-2</c:v>
                </c:pt>
                <c:pt idx="126">
                  <c:v>1.4080000000000001E-2</c:v>
                </c:pt>
                <c:pt idx="127">
                  <c:v>1.4096000000000001E-2</c:v>
                </c:pt>
                <c:pt idx="128">
                  <c:v>1.4112E-2</c:v>
                </c:pt>
                <c:pt idx="129">
                  <c:v>1.4127999999999998E-2</c:v>
                </c:pt>
                <c:pt idx="130">
                  <c:v>1.4144E-2</c:v>
                </c:pt>
                <c:pt idx="131">
                  <c:v>1.4160000000000001E-2</c:v>
                </c:pt>
                <c:pt idx="132">
                  <c:v>1.4175999999999999E-2</c:v>
                </c:pt>
                <c:pt idx="133">
                  <c:v>1.4192E-2</c:v>
                </c:pt>
                <c:pt idx="134">
                  <c:v>1.4208000000000002E-2</c:v>
                </c:pt>
                <c:pt idx="135">
                  <c:v>1.4224000000000001E-2</c:v>
                </c:pt>
                <c:pt idx="136">
                  <c:v>1.4239999999999999E-2</c:v>
                </c:pt>
                <c:pt idx="137">
                  <c:v>1.4256E-2</c:v>
                </c:pt>
                <c:pt idx="138">
                  <c:v>1.4272000000000002E-2</c:v>
                </c:pt>
                <c:pt idx="139">
                  <c:v>1.4288E-2</c:v>
                </c:pt>
                <c:pt idx="140">
                  <c:v>1.4296E-2</c:v>
                </c:pt>
                <c:pt idx="141">
                  <c:v>1.4312E-2</c:v>
                </c:pt>
                <c:pt idx="142">
                  <c:v>1.4327999999999999E-2</c:v>
                </c:pt>
                <c:pt idx="143">
                  <c:v>1.4344000000000001E-2</c:v>
                </c:pt>
                <c:pt idx="144">
                  <c:v>1.4352E-2</c:v>
                </c:pt>
                <c:pt idx="145">
                  <c:v>1.4368000000000001E-2</c:v>
                </c:pt>
                <c:pt idx="146">
                  <c:v>1.4383999999999999E-2</c:v>
                </c:pt>
                <c:pt idx="147">
                  <c:v>1.4391999999999999E-2</c:v>
                </c:pt>
                <c:pt idx="148">
                  <c:v>1.4408000000000001E-2</c:v>
                </c:pt>
                <c:pt idx="149">
                  <c:v>1.4424000000000001E-2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90848"/>
        <c:axId val="101784192"/>
      </c:lineChart>
      <c:catAx>
        <c:axId val="87390848"/>
        <c:scaling>
          <c:orientation val="minMax"/>
        </c:scaling>
        <c:delete val="0"/>
        <c:axPos val="b"/>
        <c:majorTickMark val="out"/>
        <c:minorTickMark val="none"/>
        <c:tickLblPos val="nextTo"/>
        <c:crossAx val="101784192"/>
        <c:crosses val="autoZero"/>
        <c:auto val="1"/>
        <c:lblAlgn val="ctr"/>
        <c:lblOffset val="100"/>
        <c:noMultiLvlLbl val="0"/>
      </c:catAx>
      <c:valAx>
        <c:axId val="101784192"/>
        <c:scaling>
          <c:orientation val="minMax"/>
        </c:scaling>
        <c:delete val="0"/>
        <c:axPos val="l"/>
        <c:majorGridlines/>
        <c:numFmt formatCode="0\.000%" sourceLinked="1"/>
        <c:majorTickMark val="out"/>
        <c:minorTickMark val="none"/>
        <c:tickLblPos val="nextTo"/>
        <c:crossAx val="87390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352424</xdr:colOff>
      <xdr:row>3</xdr:row>
      <xdr:rowOff>76200</xdr:rowOff>
    </xdr:from>
    <xdr:to>
      <xdr:col>28</xdr:col>
      <xdr:colOff>514349</xdr:colOff>
      <xdr:row>30</xdr:row>
      <xdr:rowOff>61912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"/>
  <sheetViews>
    <sheetView tabSelected="1" workbookViewId="0">
      <selection activeCell="C5" sqref="C5"/>
    </sheetView>
  </sheetViews>
  <sheetFormatPr baseColWidth="10" defaultRowHeight="15" x14ac:dyDescent="0.25"/>
  <cols>
    <col min="8" max="19" width="11.42578125" style="14"/>
  </cols>
  <sheetData>
    <row r="1" spans="1:19" x14ac:dyDescent="0.25">
      <c r="B1" t="s">
        <v>0</v>
      </c>
      <c r="C1" t="s">
        <v>1</v>
      </c>
      <c r="D1" t="s">
        <v>2</v>
      </c>
      <c r="E1" t="str">
        <f>B1&amp;" w. VA"</f>
        <v>BaseLine w. VA</v>
      </c>
      <c r="F1" t="str">
        <f t="shared" ref="F1:G1" si="0">C1&amp;" w. VA"</f>
        <v>YCU w. VA</v>
      </c>
      <c r="G1" t="str">
        <f t="shared" si="0"/>
        <v>YCD w. VA</v>
      </c>
      <c r="H1" s="14" t="str">
        <f>B1&amp;"-up"</f>
        <v>BaseLine-up</v>
      </c>
      <c r="I1" s="14" t="str">
        <f t="shared" ref="I1:M1" si="1">C1&amp;"-up"</f>
        <v>YCU-up</v>
      </c>
      <c r="J1" s="14" t="str">
        <f t="shared" si="1"/>
        <v>YCD-up</v>
      </c>
      <c r="K1" s="14" t="str">
        <f t="shared" si="1"/>
        <v>BaseLine w. VA-up</v>
      </c>
      <c r="L1" s="14" t="str">
        <f t="shared" si="1"/>
        <v>YCU w. VA-up</v>
      </c>
      <c r="M1" s="14" t="str">
        <f t="shared" si="1"/>
        <v>YCD w. VA-up</v>
      </c>
      <c r="N1" s="14" t="str">
        <f>B1&amp;"-down"</f>
        <v>BaseLine-down</v>
      </c>
      <c r="O1" s="14" t="str">
        <f t="shared" ref="O1:S1" si="2">C1&amp;"-down"</f>
        <v>YCU-down</v>
      </c>
      <c r="P1" s="14" t="str">
        <f t="shared" si="2"/>
        <v>YCD-down</v>
      </c>
      <c r="Q1" s="14" t="str">
        <f t="shared" si="2"/>
        <v>BaseLine w. VA-down</v>
      </c>
      <c r="R1" s="14" t="str">
        <f t="shared" si="2"/>
        <v>YCU w. VA-down</v>
      </c>
      <c r="S1" s="14" t="str">
        <f t="shared" si="2"/>
        <v>YCD w. VA-down</v>
      </c>
    </row>
    <row r="2" spans="1:19" x14ac:dyDescent="0.25">
      <c r="A2" s="1">
        <v>1</v>
      </c>
      <c r="B2" s="3">
        <v>-3.5799999999999998E-3</v>
      </c>
      <c r="C2" s="3">
        <v>1.2999999999999999E-3</v>
      </c>
      <c r="D2" s="3">
        <v>-4.6899999999999997E-3</v>
      </c>
      <c r="E2" s="3">
        <v>-3.1800000000000001E-3</v>
      </c>
      <c r="F2" s="3">
        <v>6.1999999999999998E-3</v>
      </c>
      <c r="G2" s="3">
        <v>-2.5899999999999999E-3</v>
      </c>
      <c r="H2" s="15">
        <f>B2+MAX(Interpolation!$I3*B2,1%)</f>
        <v>6.4200000000000004E-3</v>
      </c>
      <c r="I2" s="15">
        <f>C2+MAX(Interpolation!$I3*C2,1%)</f>
        <v>1.1300000000000001E-2</v>
      </c>
      <c r="J2" s="15">
        <f>D2+MAX(Interpolation!$I3*D2,1%)</f>
        <v>5.3100000000000005E-3</v>
      </c>
      <c r="K2" s="15">
        <f>E2+MAX(Interpolation!$I3*E2,1%)</f>
        <v>6.8199999999999997E-3</v>
      </c>
      <c r="L2" s="15">
        <f>F2+MAX(Interpolation!$I3*F2,1%)</f>
        <v>1.6199999999999999E-2</v>
      </c>
      <c r="M2" s="15">
        <f>G2+MAX(Interpolation!$I3*G2,1%)</f>
        <v>7.4099999999999999E-3</v>
      </c>
      <c r="N2" s="15">
        <f>B2-MAX(Interpolation!$J3*B2,0%)</f>
        <v>-3.5799999999999998E-3</v>
      </c>
      <c r="O2" s="15">
        <f>C2-MAX(Interpolation!$J3*C2,0%)</f>
        <v>3.2499999999999999E-4</v>
      </c>
      <c r="P2" s="15">
        <f>D2-MAX(Interpolation!$J3*D2,0%)</f>
        <v>-4.6899999999999997E-3</v>
      </c>
      <c r="Q2" s="15">
        <f>E2-MAX(Interpolation!$J3*E2,0%)</f>
        <v>-3.1800000000000001E-3</v>
      </c>
      <c r="R2" s="15">
        <f>F2-MAX(Interpolation!$J3*F2,0%)</f>
        <v>1.5500000000000002E-3</v>
      </c>
      <c r="S2" s="15">
        <f>G2-MAX(Interpolation!$J3*G2,0%)</f>
        <v>-2.5899999999999999E-3</v>
      </c>
    </row>
    <row r="3" spans="1:19" x14ac:dyDescent="0.25">
      <c r="A3" s="1">
        <v>2</v>
      </c>
      <c r="B3" s="3">
        <v>-2.5000000000000001E-3</v>
      </c>
      <c r="C3" s="3">
        <v>6.1999999999999998E-3</v>
      </c>
      <c r="D3" s="3">
        <v>-5.2399999999999999E-3</v>
      </c>
      <c r="E3" s="3">
        <v>-2.0999999999999999E-3</v>
      </c>
      <c r="F3" s="3">
        <v>1.11E-2</v>
      </c>
      <c r="G3" s="3">
        <v>-3.14E-3</v>
      </c>
      <c r="H3" s="15">
        <f>B3+MAX(Interpolation!$I4*B3,1%)</f>
        <v>7.4999999999999997E-3</v>
      </c>
      <c r="I3" s="15">
        <f>C3+MAX(Interpolation!$I4*C3,1%)</f>
        <v>1.6199999999999999E-2</v>
      </c>
      <c r="J3" s="15">
        <f>D3+MAX(Interpolation!$I4*D3,1%)</f>
        <v>4.7600000000000003E-3</v>
      </c>
      <c r="K3" s="15">
        <f>E3+MAX(Interpolation!$I4*E3,1%)</f>
        <v>7.9000000000000008E-3</v>
      </c>
      <c r="L3" s="15">
        <f>F3+MAX(Interpolation!$I4*F3,1%)</f>
        <v>2.1100000000000001E-2</v>
      </c>
      <c r="M3" s="15">
        <f>G3+MAX(Interpolation!$I4*G3,1%)</f>
        <v>6.8599999999999998E-3</v>
      </c>
      <c r="N3" s="15">
        <f>B3-MAX(Interpolation!$J4*B3,0%)</f>
        <v>-2.5000000000000001E-3</v>
      </c>
      <c r="O3" s="15">
        <f>C3-MAX(Interpolation!$J4*C3,0%)</f>
        <v>2.1700000000000001E-3</v>
      </c>
      <c r="P3" s="15">
        <f>D3-MAX(Interpolation!$J4*D3,0%)</f>
        <v>-5.2399999999999999E-3</v>
      </c>
      <c r="Q3" s="15">
        <f>E3-MAX(Interpolation!$J4*E3,0%)</f>
        <v>-2.0999999999999999E-3</v>
      </c>
      <c r="R3" s="15">
        <f>F3-MAX(Interpolation!$J4*F3,0%)</f>
        <v>3.8849999999999996E-3</v>
      </c>
      <c r="S3" s="15">
        <f>G3-MAX(Interpolation!$J4*G3,0%)</f>
        <v>-3.14E-3</v>
      </c>
    </row>
    <row r="4" spans="1:19" x14ac:dyDescent="0.25">
      <c r="A4" s="1">
        <v>3</v>
      </c>
      <c r="B4" s="3">
        <v>-8.8000000000000003E-4</v>
      </c>
      <c r="C4" s="3">
        <v>8.94E-3</v>
      </c>
      <c r="D4" s="3">
        <v>-4.8799999999999998E-3</v>
      </c>
      <c r="E4" s="3">
        <v>-4.8000000000000001E-4</v>
      </c>
      <c r="F4" s="3">
        <v>1.384E-2</v>
      </c>
      <c r="G4" s="3">
        <v>-2.7799999999999999E-3</v>
      </c>
      <c r="H4" s="15">
        <f>B4+MAX(Interpolation!$I5*B4,1%)</f>
        <v>9.1199999999999996E-3</v>
      </c>
      <c r="I4" s="15">
        <f>C4+MAX(Interpolation!$I5*C4,1%)</f>
        <v>1.8939999999999999E-2</v>
      </c>
      <c r="J4" s="15">
        <f>D4+MAX(Interpolation!$I5*D4,1%)</f>
        <v>5.1200000000000004E-3</v>
      </c>
      <c r="K4" s="15">
        <f>E4+MAX(Interpolation!$I5*E4,1%)</f>
        <v>9.5200000000000007E-3</v>
      </c>
      <c r="L4" s="15">
        <f>F4+MAX(Interpolation!$I5*F4,1%)</f>
        <v>2.384E-2</v>
      </c>
      <c r="M4" s="15">
        <f>G4+MAX(Interpolation!$I5*G4,1%)</f>
        <v>7.2200000000000007E-3</v>
      </c>
      <c r="N4" s="15">
        <f>B4-MAX(Interpolation!$J5*B4,0%)</f>
        <v>-8.8000000000000003E-4</v>
      </c>
      <c r="O4" s="15">
        <f>C4-MAX(Interpolation!$J5*C4,0%)</f>
        <v>3.9335999999999998E-3</v>
      </c>
      <c r="P4" s="15">
        <f>D4-MAX(Interpolation!$J5*D4,0%)</f>
        <v>-4.8799999999999998E-3</v>
      </c>
      <c r="Q4" s="15">
        <f>E4-MAX(Interpolation!$J5*E4,0%)</f>
        <v>-4.8000000000000001E-4</v>
      </c>
      <c r="R4" s="15">
        <f>F4-MAX(Interpolation!$J5*F4,0%)</f>
        <v>6.0895999999999988E-3</v>
      </c>
      <c r="S4" s="15">
        <f>G4-MAX(Interpolation!$J5*G4,0%)</f>
        <v>-2.7799999999999999E-3</v>
      </c>
    </row>
    <row r="5" spans="1:19" x14ac:dyDescent="0.25">
      <c r="A5" s="1">
        <v>4</v>
      </c>
      <c r="B5" s="3">
        <v>6.8999999999999997E-4</v>
      </c>
      <c r="C5" s="3">
        <v>1.0670000000000001E-2</v>
      </c>
      <c r="D5" s="3">
        <v>-4.1900000000000001E-3</v>
      </c>
      <c r="E5" s="3">
        <v>1.09E-3</v>
      </c>
      <c r="F5" s="3">
        <v>1.5570000000000001E-2</v>
      </c>
      <c r="G5" s="3">
        <v>-2.0899999999999998E-3</v>
      </c>
      <c r="H5" s="15">
        <f>B5+MAX(Interpolation!$I6*B5,1%)</f>
        <v>1.069E-2</v>
      </c>
      <c r="I5" s="15">
        <f>C5+MAX(Interpolation!$I6*C5,1%)</f>
        <v>2.0670000000000001E-2</v>
      </c>
      <c r="J5" s="15">
        <f>D5+MAX(Interpolation!$I6*D5,1%)</f>
        <v>5.8100000000000001E-3</v>
      </c>
      <c r="K5" s="15">
        <f>E5+MAX(Interpolation!$I6*E5,1%)</f>
        <v>1.1090000000000001E-2</v>
      </c>
      <c r="L5" s="15">
        <f>F5+MAX(Interpolation!$I6*F5,1%)</f>
        <v>2.5570000000000002E-2</v>
      </c>
      <c r="M5" s="15">
        <f>G5+MAX(Interpolation!$I6*G5,1%)</f>
        <v>7.9100000000000004E-3</v>
      </c>
      <c r="N5" s="15">
        <f>B5-MAX(Interpolation!$J6*B5,0%)</f>
        <v>3.4499999999999998E-4</v>
      </c>
      <c r="O5" s="15">
        <f>C5-MAX(Interpolation!$J6*C5,0%)</f>
        <v>5.3350000000000003E-3</v>
      </c>
      <c r="P5" s="15">
        <f>D5-MAX(Interpolation!$J6*D5,0%)</f>
        <v>-4.1900000000000001E-3</v>
      </c>
      <c r="Q5" s="15">
        <f>E5-MAX(Interpolation!$J6*E5,0%)</f>
        <v>5.4500000000000002E-4</v>
      </c>
      <c r="R5" s="15">
        <f>F5-MAX(Interpolation!$J6*F5,0%)</f>
        <v>7.7850000000000003E-3</v>
      </c>
      <c r="S5" s="15">
        <f>G5-MAX(Interpolation!$J6*G5,0%)</f>
        <v>-2.0899999999999998E-3</v>
      </c>
    </row>
    <row r="6" spans="1:19" x14ac:dyDescent="0.25">
      <c r="A6" s="2">
        <v>5</v>
      </c>
      <c r="B6" s="4">
        <v>2.0899999999999998E-3</v>
      </c>
      <c r="C6" s="4">
        <v>1.204E-2</v>
      </c>
      <c r="D6" s="4">
        <v>-3.46E-3</v>
      </c>
      <c r="E6" s="4">
        <v>2.49E-3</v>
      </c>
      <c r="F6" s="4">
        <v>1.694E-2</v>
      </c>
      <c r="G6" s="4">
        <v>-1.3600000000000001E-3</v>
      </c>
      <c r="H6" s="15">
        <f>B6+MAX(Interpolation!$I7*B6,1%)</f>
        <v>1.209E-2</v>
      </c>
      <c r="I6" s="15">
        <f>C6+MAX(Interpolation!$I7*C6,1%)</f>
        <v>2.2040000000000001E-2</v>
      </c>
      <c r="J6" s="15">
        <f>D6+MAX(Interpolation!$I7*D6,1%)</f>
        <v>6.5400000000000007E-3</v>
      </c>
      <c r="K6" s="15">
        <f>E6+MAX(Interpolation!$I7*E6,1%)</f>
        <v>1.2490000000000001E-2</v>
      </c>
      <c r="L6" s="15">
        <f>F6+MAX(Interpolation!$I7*F6,1%)</f>
        <v>2.6939999999999999E-2</v>
      </c>
      <c r="M6" s="15">
        <f>G6+MAX(Interpolation!$I7*G6,1%)</f>
        <v>8.6400000000000001E-3</v>
      </c>
      <c r="N6" s="15">
        <f>B6-MAX(Interpolation!$J7*B6,0%)</f>
        <v>1.1286E-3</v>
      </c>
      <c r="O6" s="15">
        <f>C6-MAX(Interpolation!$J7*C6,0%)</f>
        <v>6.5015999999999997E-3</v>
      </c>
      <c r="P6" s="15">
        <f>D6-MAX(Interpolation!$J7*D6,0%)</f>
        <v>-3.46E-3</v>
      </c>
      <c r="Q6" s="15">
        <f>E6-MAX(Interpolation!$J7*E6,0%)</f>
        <v>1.3446E-3</v>
      </c>
      <c r="R6" s="15">
        <f>F6-MAX(Interpolation!$J7*F6,0%)</f>
        <v>9.1475999999999988E-3</v>
      </c>
      <c r="S6" s="15">
        <f>G6-MAX(Interpolation!$J7*G6,0%)</f>
        <v>-1.3600000000000001E-3</v>
      </c>
    </row>
    <row r="7" spans="1:19" x14ac:dyDescent="0.25">
      <c r="A7" s="1">
        <v>6</v>
      </c>
      <c r="B7" s="3">
        <v>3.47E-3</v>
      </c>
      <c r="C7" s="3">
        <v>1.324E-2</v>
      </c>
      <c r="D7" s="3">
        <v>-2.7599999999999999E-3</v>
      </c>
      <c r="E7" s="3">
        <v>3.8700000000000002E-3</v>
      </c>
      <c r="F7" s="3">
        <v>1.814E-2</v>
      </c>
      <c r="G7" s="3">
        <v>-6.6E-4</v>
      </c>
      <c r="H7" s="15">
        <f>B7+MAX(Interpolation!$I8*B7,1%)</f>
        <v>1.3469999999999999E-2</v>
      </c>
      <c r="I7" s="15">
        <f>C7+MAX(Interpolation!$I8*C7,1%)</f>
        <v>2.324E-2</v>
      </c>
      <c r="J7" s="15">
        <f>D7+MAX(Interpolation!$I8*D7,1%)</f>
        <v>7.2399999999999999E-3</v>
      </c>
      <c r="K7" s="15">
        <f>E7+MAX(Interpolation!$I8*E7,1%)</f>
        <v>1.387E-2</v>
      </c>
      <c r="L7" s="15">
        <f>F7+MAX(Interpolation!$I8*F7,1%)</f>
        <v>2.8139999999999998E-2</v>
      </c>
      <c r="M7" s="15">
        <f>G7+MAX(Interpolation!$I8*G7,1%)</f>
        <v>9.3400000000000011E-3</v>
      </c>
      <c r="N7" s="15">
        <f>B7-MAX(Interpolation!$J8*B7,0%)</f>
        <v>2.0125999999999998E-3</v>
      </c>
      <c r="O7" s="15">
        <f>C7-MAX(Interpolation!$J8*C7,0%)</f>
        <v>7.6792000000000006E-3</v>
      </c>
      <c r="P7" s="15">
        <f>D7-MAX(Interpolation!$J8*D7,0%)</f>
        <v>-2.7599999999999999E-3</v>
      </c>
      <c r="Q7" s="15">
        <f>E7-MAX(Interpolation!$J8*E7,0%)</f>
        <v>2.2446000000000002E-3</v>
      </c>
      <c r="R7" s="15">
        <f>F7-MAX(Interpolation!$J8*F7,0%)</f>
        <v>1.0521200000000001E-2</v>
      </c>
      <c r="S7" s="15">
        <f>G7-MAX(Interpolation!$J8*G7,0%)</f>
        <v>-6.6E-4</v>
      </c>
    </row>
    <row r="8" spans="1:19" x14ac:dyDescent="0.25">
      <c r="A8" s="1">
        <v>7</v>
      </c>
      <c r="B8" s="3">
        <v>4.6899999999999997E-3</v>
      </c>
      <c r="C8" s="3">
        <v>1.43E-2</v>
      </c>
      <c r="D8" s="3">
        <v>-2.0799999999999998E-3</v>
      </c>
      <c r="E8" s="3">
        <v>5.0899999999999999E-3</v>
      </c>
      <c r="F8" s="3">
        <v>1.9199999999999998E-2</v>
      </c>
      <c r="G8" s="3">
        <v>2.0000000000000002E-5</v>
      </c>
      <c r="H8" s="15">
        <f>B8+MAX(Interpolation!$I9*B8,1%)</f>
        <v>1.469E-2</v>
      </c>
      <c r="I8" s="15">
        <f>C8+MAX(Interpolation!$I9*C8,1%)</f>
        <v>2.4300000000000002E-2</v>
      </c>
      <c r="J8" s="15">
        <f>D8+MAX(Interpolation!$I9*D8,1%)</f>
        <v>7.92E-3</v>
      </c>
      <c r="K8" s="15">
        <f>E8+MAX(Interpolation!$I9*E8,1%)</f>
        <v>1.5089999999999999E-2</v>
      </c>
      <c r="L8" s="15">
        <f>F8+MAX(Interpolation!$I9*F8,1%)</f>
        <v>2.9199999999999997E-2</v>
      </c>
      <c r="M8" s="15">
        <f>G8+MAX(Interpolation!$I9*G8,1%)</f>
        <v>1.0019999999999999E-2</v>
      </c>
      <c r="N8" s="15">
        <f>B8-MAX(Interpolation!$J9*B8,0%)</f>
        <v>2.8608999999999996E-3</v>
      </c>
      <c r="O8" s="15">
        <f>C8-MAX(Interpolation!$J9*C8,0%)</f>
        <v>8.7229999999999999E-3</v>
      </c>
      <c r="P8" s="15">
        <f>D8-MAX(Interpolation!$J9*D8,0%)</f>
        <v>-2.0799999999999998E-3</v>
      </c>
      <c r="Q8" s="15">
        <f>E8-MAX(Interpolation!$J9*E8,0%)</f>
        <v>3.1048999999999998E-3</v>
      </c>
      <c r="R8" s="15">
        <f>F8-MAX(Interpolation!$J9*F8,0%)</f>
        <v>1.1711999999999998E-2</v>
      </c>
      <c r="S8" s="15">
        <f>G8-MAX(Interpolation!$J9*G8,0%)</f>
        <v>1.22E-5</v>
      </c>
    </row>
    <row r="9" spans="1:19" x14ac:dyDescent="0.25">
      <c r="A9" s="1">
        <v>8</v>
      </c>
      <c r="B9" s="3">
        <v>5.8500000000000002E-3</v>
      </c>
      <c r="C9" s="3">
        <v>1.521E-2</v>
      </c>
      <c r="D9" s="3">
        <v>-1.4300000000000001E-3</v>
      </c>
      <c r="E9" s="3">
        <v>6.2500000000000003E-3</v>
      </c>
      <c r="F9" s="3">
        <v>2.0109999999999999E-2</v>
      </c>
      <c r="G9" s="3">
        <v>6.7000000000000002E-4</v>
      </c>
      <c r="H9" s="15">
        <f>B9+MAX(Interpolation!$I10*B9,1%)</f>
        <v>1.585E-2</v>
      </c>
      <c r="I9" s="15">
        <f>C9+MAX(Interpolation!$I10*C9,1%)</f>
        <v>2.521E-2</v>
      </c>
      <c r="J9" s="15">
        <f>D9+MAX(Interpolation!$I10*D9,1%)</f>
        <v>8.5699999999999995E-3</v>
      </c>
      <c r="K9" s="15">
        <f>E9+MAX(Interpolation!$I10*E9,1%)</f>
        <v>1.6250000000000001E-2</v>
      </c>
      <c r="L9" s="15">
        <f>F9+MAX(Interpolation!$I10*F9,1%)</f>
        <v>3.0109999999999998E-2</v>
      </c>
      <c r="M9" s="15">
        <f>G9+MAX(Interpolation!$I10*G9,1%)</f>
        <v>1.0670000000000001E-2</v>
      </c>
      <c r="N9" s="15">
        <f>B9-MAX(Interpolation!$J10*B9,0%)</f>
        <v>3.7440000000000004E-3</v>
      </c>
      <c r="O9" s="15">
        <f>C9-MAX(Interpolation!$J10*C9,0%)</f>
        <v>9.7344000000000007E-3</v>
      </c>
      <c r="P9" s="15">
        <f>D9-MAX(Interpolation!$J10*D9,0%)</f>
        <v>-1.4300000000000001E-3</v>
      </c>
      <c r="Q9" s="15">
        <f>E9-MAX(Interpolation!$J10*E9,0%)</f>
        <v>4.0000000000000001E-3</v>
      </c>
      <c r="R9" s="15">
        <f>F9-MAX(Interpolation!$J10*F9,0%)</f>
        <v>1.2870400000000001E-2</v>
      </c>
      <c r="S9" s="15">
        <f>G9-MAX(Interpolation!$J10*G9,0%)</f>
        <v>4.2880000000000001E-4</v>
      </c>
    </row>
    <row r="10" spans="1:19" x14ac:dyDescent="0.25">
      <c r="A10" s="1">
        <v>9</v>
      </c>
      <c r="B10" s="3">
        <v>6.9499999999999996E-3</v>
      </c>
      <c r="C10" s="3">
        <v>1.5990000000000001E-2</v>
      </c>
      <c r="D10" s="3">
        <v>-7.7999999999999999E-4</v>
      </c>
      <c r="E10" s="3">
        <v>7.3499999999999998E-3</v>
      </c>
      <c r="F10" s="3">
        <v>2.0889999999999999E-2</v>
      </c>
      <c r="G10" s="3">
        <v>1.32E-3</v>
      </c>
      <c r="H10" s="15">
        <f>B10+MAX(Interpolation!$I11*B10,1%)</f>
        <v>1.695E-2</v>
      </c>
      <c r="I10" s="15">
        <f>C10+MAX(Interpolation!$I11*C10,1%)</f>
        <v>2.5989999999999999E-2</v>
      </c>
      <c r="J10" s="15">
        <f>D10+MAX(Interpolation!$I11*D10,1%)</f>
        <v>9.2200000000000008E-3</v>
      </c>
      <c r="K10" s="15">
        <f>E10+MAX(Interpolation!$I11*E10,1%)</f>
        <v>1.7350000000000001E-2</v>
      </c>
      <c r="L10" s="15">
        <f>F10+MAX(Interpolation!$I11*F10,1%)</f>
        <v>3.0890000000000001E-2</v>
      </c>
      <c r="M10" s="15">
        <f>G10+MAX(Interpolation!$I11*G10,1%)</f>
        <v>1.132E-2</v>
      </c>
      <c r="N10" s="15">
        <f>B10-MAX(Interpolation!$J11*B10,0%)</f>
        <v>4.6564999999999992E-3</v>
      </c>
      <c r="O10" s="15">
        <f>C10-MAX(Interpolation!$J11*C10,0%)</f>
        <v>1.07133E-2</v>
      </c>
      <c r="P10" s="15">
        <f>D10-MAX(Interpolation!$J11*D10,0%)</f>
        <v>-7.7999999999999999E-4</v>
      </c>
      <c r="Q10" s="15">
        <f>E10-MAX(Interpolation!$J11*E10,0%)</f>
        <v>4.9245000000000001E-3</v>
      </c>
      <c r="R10" s="15">
        <f>F10-MAX(Interpolation!$J11*F10,0%)</f>
        <v>1.39963E-2</v>
      </c>
      <c r="S10" s="15">
        <f>G10-MAX(Interpolation!$J11*G10,0%)</f>
        <v>8.8440000000000003E-4</v>
      </c>
    </row>
    <row r="11" spans="1:19" x14ac:dyDescent="0.25">
      <c r="A11" s="2">
        <v>10</v>
      </c>
      <c r="B11" s="4">
        <v>8.0199999999999994E-3</v>
      </c>
      <c r="C11" s="4">
        <v>1.6629999999999999E-2</v>
      </c>
      <c r="D11" s="4">
        <v>-1.3999999999999999E-4</v>
      </c>
      <c r="E11" s="4">
        <v>8.4200000000000004E-3</v>
      </c>
      <c r="F11" s="4">
        <v>2.1530000000000001E-2</v>
      </c>
      <c r="G11" s="4">
        <v>1.9599999999999999E-3</v>
      </c>
      <c r="H11" s="15">
        <f>B11+MAX(Interpolation!$I12*B11,1%)</f>
        <v>1.8020000000000001E-2</v>
      </c>
      <c r="I11" s="15">
        <f>C11+MAX(Interpolation!$I12*C11,1%)</f>
        <v>2.6630000000000001E-2</v>
      </c>
      <c r="J11" s="15">
        <f>D11+MAX(Interpolation!$I12*D11,1%)</f>
        <v>9.8600000000000007E-3</v>
      </c>
      <c r="K11" s="15">
        <f>E11+MAX(Interpolation!$I12*E11,1%)</f>
        <v>1.8419999999999999E-2</v>
      </c>
      <c r="L11" s="15">
        <f>F11+MAX(Interpolation!$I12*F11,1%)</f>
        <v>3.1530000000000002E-2</v>
      </c>
      <c r="M11" s="15">
        <f>G11+MAX(Interpolation!$I12*G11,1%)</f>
        <v>1.196E-2</v>
      </c>
      <c r="N11" s="15">
        <f>B11-MAX(Interpolation!$J12*B11,0%)</f>
        <v>5.5338000000000002E-3</v>
      </c>
      <c r="O11" s="15">
        <f>C11-MAX(Interpolation!$J12*C11,0%)</f>
        <v>1.1474699999999999E-2</v>
      </c>
      <c r="P11" s="15">
        <f>D11-MAX(Interpolation!$J12*D11,0%)</f>
        <v>-1.3999999999999999E-4</v>
      </c>
      <c r="Q11" s="15">
        <f>E11-MAX(Interpolation!$J12*E11,0%)</f>
        <v>5.8098000000000004E-3</v>
      </c>
      <c r="R11" s="15">
        <f>F11-MAX(Interpolation!$J12*F11,0%)</f>
        <v>1.4855699999999999E-2</v>
      </c>
      <c r="S11" s="15">
        <f>G11-MAX(Interpolation!$J12*G11,0%)</f>
        <v>1.3523999999999999E-3</v>
      </c>
    </row>
    <row r="12" spans="1:19" x14ac:dyDescent="0.25">
      <c r="A12" s="1">
        <v>11</v>
      </c>
      <c r="B12" s="3">
        <v>8.9700000000000005E-3</v>
      </c>
      <c r="C12" s="3">
        <v>1.7149999999999999E-2</v>
      </c>
      <c r="D12" s="3">
        <v>5.0000000000000001E-4</v>
      </c>
      <c r="E12" s="3">
        <v>9.3699999999999999E-3</v>
      </c>
      <c r="F12" s="3">
        <v>2.205E-2</v>
      </c>
      <c r="G12" s="3">
        <v>2.5999999999999999E-3</v>
      </c>
      <c r="H12" s="15">
        <f>B12+MAX(Interpolation!$I13*B12,1%)</f>
        <v>1.8970000000000001E-2</v>
      </c>
      <c r="I12" s="15">
        <f>C12+MAX(Interpolation!$I13*C12,1%)</f>
        <v>2.7150000000000001E-2</v>
      </c>
      <c r="J12" s="15">
        <f>D12+MAX(Interpolation!$I13*D12,1%)</f>
        <v>1.0500000000000001E-2</v>
      </c>
      <c r="K12" s="15">
        <f>E12+MAX(Interpolation!$I13*E12,1%)</f>
        <v>1.9369999999999998E-2</v>
      </c>
      <c r="L12" s="15">
        <f>F12+MAX(Interpolation!$I13*F12,1%)</f>
        <v>3.2050000000000002E-2</v>
      </c>
      <c r="M12" s="15">
        <f>G12+MAX(Interpolation!$I13*G12,1%)</f>
        <v>1.26E-2</v>
      </c>
      <c r="N12" s="15">
        <f>B12-MAX(Interpolation!$J13*B12,0%)</f>
        <v>6.2789999999999999E-3</v>
      </c>
      <c r="O12" s="15">
        <f>C12-MAX(Interpolation!$J13*C12,0%)</f>
        <v>1.2004999999999998E-2</v>
      </c>
      <c r="P12" s="15">
        <f>D12-MAX(Interpolation!$J13*D12,0%)</f>
        <v>3.5000000000000005E-4</v>
      </c>
      <c r="Q12" s="15">
        <f>E12-MAX(Interpolation!$J13*E12,0%)</f>
        <v>6.5590000000000006E-3</v>
      </c>
      <c r="R12" s="15">
        <f>F12-MAX(Interpolation!$J13*F12,0%)</f>
        <v>1.5435000000000001E-2</v>
      </c>
      <c r="S12" s="15">
        <f>G12-MAX(Interpolation!$J13*G12,0%)</f>
        <v>1.82E-3</v>
      </c>
    </row>
    <row r="13" spans="1:19" x14ac:dyDescent="0.25">
      <c r="A13" s="1">
        <v>12</v>
      </c>
      <c r="B13" s="3">
        <v>9.8200000000000006E-3</v>
      </c>
      <c r="C13" s="3">
        <v>1.7590000000000001E-2</v>
      </c>
      <c r="D13" s="3">
        <v>1.1299999999999999E-3</v>
      </c>
      <c r="E13" s="3">
        <v>1.022E-2</v>
      </c>
      <c r="F13" s="3">
        <v>2.249E-2</v>
      </c>
      <c r="G13" s="3">
        <v>3.2299999999999998E-3</v>
      </c>
      <c r="H13" s="15">
        <f>B13+MAX(Interpolation!$I14*B13,1%)</f>
        <v>1.9820000000000001E-2</v>
      </c>
      <c r="I13" s="15">
        <f>C13+MAX(Interpolation!$I14*C13,1%)</f>
        <v>2.7590000000000003E-2</v>
      </c>
      <c r="J13" s="15">
        <f>D13+MAX(Interpolation!$I14*D13,1%)</f>
        <v>1.1130000000000001E-2</v>
      </c>
      <c r="K13" s="15">
        <f>E13+MAX(Interpolation!$I14*E13,1%)</f>
        <v>2.0220000000000002E-2</v>
      </c>
      <c r="L13" s="15">
        <f>F13+MAX(Interpolation!$I14*F13,1%)</f>
        <v>3.2489999999999998E-2</v>
      </c>
      <c r="M13" s="15">
        <f>G13+MAX(Interpolation!$I14*G13,1%)</f>
        <v>1.323E-2</v>
      </c>
      <c r="N13" s="15">
        <f>B13-MAX(Interpolation!$J14*B13,0%)</f>
        <v>6.9722000000000004E-3</v>
      </c>
      <c r="O13" s="15">
        <f>C13-MAX(Interpolation!$J14*C13,0%)</f>
        <v>1.2488900000000001E-2</v>
      </c>
      <c r="P13" s="15">
        <f>D13-MAX(Interpolation!$J14*D13,0%)</f>
        <v>8.0229999999999993E-4</v>
      </c>
      <c r="Q13" s="15">
        <f>E13-MAX(Interpolation!$J14*E13,0%)</f>
        <v>7.2562E-3</v>
      </c>
      <c r="R13" s="15">
        <f>F13-MAX(Interpolation!$J14*F13,0%)</f>
        <v>1.59679E-2</v>
      </c>
      <c r="S13" s="15">
        <f>G13-MAX(Interpolation!$J14*G13,0%)</f>
        <v>2.2932999999999999E-3</v>
      </c>
    </row>
    <row r="14" spans="1:19" x14ac:dyDescent="0.25">
      <c r="A14" s="1">
        <v>13</v>
      </c>
      <c r="B14" s="3">
        <v>1.059E-2</v>
      </c>
      <c r="C14" s="3">
        <v>1.7989999999999999E-2</v>
      </c>
      <c r="D14" s="3">
        <v>1.75E-3</v>
      </c>
      <c r="E14" s="3">
        <v>1.099E-2</v>
      </c>
      <c r="F14" s="3">
        <v>2.2890000000000001E-2</v>
      </c>
      <c r="G14" s="3">
        <v>3.8500000000000001E-3</v>
      </c>
      <c r="H14" s="15">
        <f>B14+MAX(Interpolation!$I15*B14,1%)</f>
        <v>2.0590000000000001E-2</v>
      </c>
      <c r="I14" s="15">
        <f>C14+MAX(Interpolation!$I15*C14,1%)</f>
        <v>2.7990000000000001E-2</v>
      </c>
      <c r="J14" s="15">
        <f>D14+MAX(Interpolation!$I15*D14,1%)</f>
        <v>1.175E-2</v>
      </c>
      <c r="K14" s="15">
        <f>E14+MAX(Interpolation!$I15*E14,1%)</f>
        <v>2.0990000000000002E-2</v>
      </c>
      <c r="L14" s="15">
        <f>F14+MAX(Interpolation!$I15*F14,1%)</f>
        <v>3.2890000000000003E-2</v>
      </c>
      <c r="M14" s="15">
        <f>G14+MAX(Interpolation!$I15*G14,1%)</f>
        <v>1.3850000000000001E-2</v>
      </c>
      <c r="N14" s="15">
        <f>B14-MAX(Interpolation!$J15*B14,0%)</f>
        <v>7.6248000000000002E-3</v>
      </c>
      <c r="O14" s="15">
        <f>C14-MAX(Interpolation!$J15*C14,0%)</f>
        <v>1.2952799999999999E-2</v>
      </c>
      <c r="P14" s="15">
        <f>D14-MAX(Interpolation!$J15*D14,0%)</f>
        <v>1.2599999999999998E-3</v>
      </c>
      <c r="Q14" s="15">
        <f>E14-MAX(Interpolation!$J15*E14,0%)</f>
        <v>7.9127999999999993E-3</v>
      </c>
      <c r="R14" s="15">
        <f>F14-MAX(Interpolation!$J15*F14,0%)</f>
        <v>1.64808E-2</v>
      </c>
      <c r="S14" s="15">
        <f>G14-MAX(Interpolation!$J15*G14,0%)</f>
        <v>2.7720000000000002E-3</v>
      </c>
    </row>
    <row r="15" spans="1:19" x14ac:dyDescent="0.25">
      <c r="A15" s="1">
        <v>14</v>
      </c>
      <c r="B15" s="3">
        <v>1.125E-2</v>
      </c>
      <c r="C15" s="3">
        <v>1.8360000000000001E-2</v>
      </c>
      <c r="D15" s="3">
        <v>2.3400000000000001E-3</v>
      </c>
      <c r="E15" s="3">
        <v>1.1650000000000001E-2</v>
      </c>
      <c r="F15" s="3">
        <v>2.3259999999999999E-2</v>
      </c>
      <c r="G15" s="3">
        <v>4.4400000000000004E-3</v>
      </c>
      <c r="H15" s="15">
        <f>B15+MAX(Interpolation!$I16*B15,1%)</f>
        <v>2.1249999999999998E-2</v>
      </c>
      <c r="I15" s="15">
        <f>C15+MAX(Interpolation!$I16*C15,1%)</f>
        <v>2.8360000000000003E-2</v>
      </c>
      <c r="J15" s="15">
        <f>D15+MAX(Interpolation!$I16*D15,1%)</f>
        <v>1.234E-2</v>
      </c>
      <c r="K15" s="15">
        <f>E15+MAX(Interpolation!$I16*E15,1%)</f>
        <v>2.1650000000000003E-2</v>
      </c>
      <c r="L15" s="15">
        <f>F15+MAX(Interpolation!$I16*F15,1%)</f>
        <v>3.3259999999999998E-2</v>
      </c>
      <c r="M15" s="15">
        <f>G15+MAX(Interpolation!$I16*G15,1%)</f>
        <v>1.4440000000000001E-2</v>
      </c>
      <c r="N15" s="15">
        <f>B15-MAX(Interpolation!$J16*B15,0%)</f>
        <v>8.0999999999999996E-3</v>
      </c>
      <c r="O15" s="15">
        <f>C15-MAX(Interpolation!$J16*C15,0%)</f>
        <v>1.32192E-2</v>
      </c>
      <c r="P15" s="15">
        <f>D15-MAX(Interpolation!$J16*D15,0%)</f>
        <v>1.6848E-3</v>
      </c>
      <c r="Q15" s="15">
        <f>E15-MAX(Interpolation!$J16*E15,0%)</f>
        <v>8.3879999999999996E-3</v>
      </c>
      <c r="R15" s="15">
        <f>F15-MAX(Interpolation!$J16*F15,0%)</f>
        <v>1.6747199999999997E-2</v>
      </c>
      <c r="S15" s="15">
        <f>G15-MAX(Interpolation!$J16*G15,0%)</f>
        <v>3.1968000000000001E-3</v>
      </c>
    </row>
    <row r="16" spans="1:19" x14ac:dyDescent="0.25">
      <c r="A16" s="2">
        <v>15</v>
      </c>
      <c r="B16" s="4">
        <v>1.1769999999999999E-2</v>
      </c>
      <c r="C16" s="4">
        <v>1.8720000000000001E-2</v>
      </c>
      <c r="D16" s="4">
        <v>2.9099999999999998E-3</v>
      </c>
      <c r="E16" s="4">
        <v>1.217E-2</v>
      </c>
      <c r="F16" s="4">
        <v>2.3619999999999999E-2</v>
      </c>
      <c r="G16" s="4">
        <v>5.0099999999999997E-3</v>
      </c>
      <c r="H16" s="15">
        <f>B16+MAX(Interpolation!$I17*B16,1%)</f>
        <v>2.1769999999999998E-2</v>
      </c>
      <c r="I16" s="15">
        <f>C16+MAX(Interpolation!$I17*C16,1%)</f>
        <v>2.8720000000000002E-2</v>
      </c>
      <c r="J16" s="15">
        <f>D16+MAX(Interpolation!$I17*D16,1%)</f>
        <v>1.291E-2</v>
      </c>
      <c r="K16" s="15">
        <f>E16+MAX(Interpolation!$I17*E16,1%)</f>
        <v>2.2170000000000002E-2</v>
      </c>
      <c r="L16" s="15">
        <f>F16+MAX(Interpolation!$I17*F16,1%)</f>
        <v>3.3619999999999997E-2</v>
      </c>
      <c r="M16" s="15">
        <f>G16+MAX(Interpolation!$I17*G16,1%)</f>
        <v>1.5009999999999999E-2</v>
      </c>
      <c r="N16" s="15">
        <f>B16-MAX(Interpolation!$J17*B16,0%)</f>
        <v>8.5920999999999983E-3</v>
      </c>
      <c r="O16" s="15">
        <f>C16-MAX(Interpolation!$J17*C16,0%)</f>
        <v>1.36656E-2</v>
      </c>
      <c r="P16" s="15">
        <f>D16-MAX(Interpolation!$J17*D16,0%)</f>
        <v>2.1243E-3</v>
      </c>
      <c r="Q16" s="15">
        <f>E16-MAX(Interpolation!$J17*E16,0%)</f>
        <v>8.8840999999999989E-3</v>
      </c>
      <c r="R16" s="15">
        <f>F16-MAX(Interpolation!$J17*F16,0%)</f>
        <v>1.7242599999999997E-2</v>
      </c>
      <c r="S16" s="15">
        <f>G16-MAX(Interpolation!$J17*G16,0%)</f>
        <v>3.6572999999999996E-3</v>
      </c>
    </row>
    <row r="17" spans="1:19" x14ac:dyDescent="0.25">
      <c r="A17" s="1">
        <v>16</v>
      </c>
      <c r="B17" s="3">
        <v>1.217E-2</v>
      </c>
      <c r="C17" s="3">
        <v>1.9089999999999999E-2</v>
      </c>
      <c r="D17" s="3">
        <v>3.46E-3</v>
      </c>
      <c r="E17" s="3">
        <v>1.257E-2</v>
      </c>
      <c r="F17" s="3">
        <v>2.3990000000000001E-2</v>
      </c>
      <c r="G17" s="3">
        <v>5.5599999999999998E-3</v>
      </c>
      <c r="H17" s="15">
        <f>B17+MAX(Interpolation!$I18*B17,1%)</f>
        <v>2.2170000000000002E-2</v>
      </c>
      <c r="I17" s="15">
        <f>C17+MAX(Interpolation!$I18*C17,1%)</f>
        <v>2.9089999999999998E-2</v>
      </c>
      <c r="J17" s="15">
        <f>D17+MAX(Interpolation!$I18*D17,1%)</f>
        <v>1.346E-2</v>
      </c>
      <c r="K17" s="15">
        <f>E17+MAX(Interpolation!$I18*E17,1%)</f>
        <v>2.257E-2</v>
      </c>
      <c r="L17" s="15">
        <f>F17+MAX(Interpolation!$I18*F17,1%)</f>
        <v>3.3989999999999999E-2</v>
      </c>
      <c r="M17" s="15">
        <f>G17+MAX(Interpolation!$I18*G17,1%)</f>
        <v>1.5560000000000001E-2</v>
      </c>
      <c r="N17" s="15">
        <f>B17-MAX(Interpolation!$J18*B17,0%)</f>
        <v>8.7624E-3</v>
      </c>
      <c r="O17" s="15">
        <f>C17-MAX(Interpolation!$J18*C17,0%)</f>
        <v>1.3744799999999998E-2</v>
      </c>
      <c r="P17" s="15">
        <f>D17-MAX(Interpolation!$J18*D17,0%)</f>
        <v>2.4911999999999998E-3</v>
      </c>
      <c r="Q17" s="15">
        <f>E17-MAX(Interpolation!$J18*E17,0%)</f>
        <v>9.0504000000000001E-3</v>
      </c>
      <c r="R17" s="15">
        <f>F17-MAX(Interpolation!$J18*F17,0%)</f>
        <v>1.7272799999999998E-2</v>
      </c>
      <c r="S17" s="15">
        <f>G17-MAX(Interpolation!$J18*G17,0%)</f>
        <v>4.0032000000000002E-3</v>
      </c>
    </row>
    <row r="18" spans="1:19" x14ac:dyDescent="0.25">
      <c r="A18" s="1">
        <v>17</v>
      </c>
      <c r="B18" s="3">
        <v>1.2489999999999999E-2</v>
      </c>
      <c r="C18" s="3">
        <v>1.9460000000000002E-2</v>
      </c>
      <c r="D18" s="3">
        <v>3.9899999999999996E-3</v>
      </c>
      <c r="E18" s="3">
        <v>1.289E-2</v>
      </c>
      <c r="F18" s="3">
        <v>2.436E-2</v>
      </c>
      <c r="G18" s="3">
        <v>6.0899999999999999E-3</v>
      </c>
      <c r="H18" s="15">
        <f>B18+MAX(Interpolation!$I19*B18,1%)</f>
        <v>2.249E-2</v>
      </c>
      <c r="I18" s="15">
        <f>C18+MAX(Interpolation!$I19*C18,1%)</f>
        <v>2.946E-2</v>
      </c>
      <c r="J18" s="15">
        <f>D18+MAX(Interpolation!$I19*D18,1%)</f>
        <v>1.3989999999999999E-2</v>
      </c>
      <c r="K18" s="15">
        <f>E18+MAX(Interpolation!$I19*E18,1%)</f>
        <v>2.2890000000000001E-2</v>
      </c>
      <c r="L18" s="15">
        <f>F18+MAX(Interpolation!$I19*F18,1%)</f>
        <v>3.4360000000000002E-2</v>
      </c>
      <c r="M18" s="15">
        <f>G18+MAX(Interpolation!$I19*G18,1%)</f>
        <v>1.609E-2</v>
      </c>
      <c r="N18" s="15">
        <f>B18-MAX(Interpolation!$J19*B18,0%)</f>
        <v>8.9927999999999987E-3</v>
      </c>
      <c r="O18" s="15">
        <f>C18-MAX(Interpolation!$J19*C18,0%)</f>
        <v>1.4011200000000001E-2</v>
      </c>
      <c r="P18" s="15">
        <f>D18-MAX(Interpolation!$J19*D18,0%)</f>
        <v>2.8727999999999996E-3</v>
      </c>
      <c r="Q18" s="15">
        <f>E18-MAX(Interpolation!$J19*E18,0%)</f>
        <v>9.2808000000000005E-3</v>
      </c>
      <c r="R18" s="15">
        <f>F18-MAX(Interpolation!$J19*F18,0%)</f>
        <v>1.7539199999999998E-2</v>
      </c>
      <c r="S18" s="15">
        <f>G18-MAX(Interpolation!$J19*G18,0%)</f>
        <v>4.3847999999999995E-3</v>
      </c>
    </row>
    <row r="19" spans="1:19" x14ac:dyDescent="0.25">
      <c r="A19" s="1">
        <v>18</v>
      </c>
      <c r="B19" s="3">
        <v>1.2800000000000001E-2</v>
      </c>
      <c r="C19" s="3">
        <v>1.984E-2</v>
      </c>
      <c r="D19" s="3">
        <v>4.4999999999999997E-3</v>
      </c>
      <c r="E19" s="3">
        <v>1.32E-2</v>
      </c>
      <c r="F19" s="3">
        <v>2.4740000000000002E-2</v>
      </c>
      <c r="G19" s="3">
        <v>6.6E-3</v>
      </c>
      <c r="H19" s="15">
        <f>B19+MAX(Interpolation!$I20*B19,1%)</f>
        <v>2.2800000000000001E-2</v>
      </c>
      <c r="I19" s="15">
        <f>C19+MAX(Interpolation!$I20*C19,1%)</f>
        <v>2.9839999999999998E-2</v>
      </c>
      <c r="J19" s="15">
        <f>D19+MAX(Interpolation!$I20*D19,1%)</f>
        <v>1.4499999999999999E-2</v>
      </c>
      <c r="K19" s="15">
        <f>E19+MAX(Interpolation!$I20*E19,1%)</f>
        <v>2.3199999999999998E-2</v>
      </c>
      <c r="L19" s="15">
        <f>F19+MAX(Interpolation!$I20*F19,1%)</f>
        <v>3.474E-2</v>
      </c>
      <c r="M19" s="15">
        <f>G19+MAX(Interpolation!$I20*G19,1%)</f>
        <v>1.66E-2</v>
      </c>
      <c r="N19" s="15">
        <f>B19-MAX(Interpolation!$J20*B19,0%)</f>
        <v>9.2160000000000002E-3</v>
      </c>
      <c r="O19" s="15">
        <f>C19-MAX(Interpolation!$J20*C19,0%)</f>
        <v>1.42848E-2</v>
      </c>
      <c r="P19" s="15">
        <f>D19-MAX(Interpolation!$J20*D19,0%)</f>
        <v>3.2399999999999998E-3</v>
      </c>
      <c r="Q19" s="15">
        <f>E19-MAX(Interpolation!$J20*E19,0%)</f>
        <v>9.5039999999999986E-3</v>
      </c>
      <c r="R19" s="15">
        <f>F19-MAX(Interpolation!$J20*F19,0%)</f>
        <v>1.78128E-2</v>
      </c>
      <c r="S19" s="15">
        <f>G19-MAX(Interpolation!$J20*G19,0%)</f>
        <v>4.7519999999999993E-3</v>
      </c>
    </row>
    <row r="20" spans="1:19" x14ac:dyDescent="0.25">
      <c r="A20" s="1">
        <v>19</v>
      </c>
      <c r="B20" s="3">
        <v>1.316E-2</v>
      </c>
      <c r="C20" s="3">
        <v>2.0250000000000001E-2</v>
      </c>
      <c r="D20" s="3">
        <v>4.9899999999999996E-3</v>
      </c>
      <c r="E20" s="3">
        <v>1.3559999999999999E-2</v>
      </c>
      <c r="F20" s="3">
        <v>2.5149999999999999E-2</v>
      </c>
      <c r="G20" s="3">
        <v>7.0899999999999999E-3</v>
      </c>
      <c r="H20" s="15">
        <f>B20+MAX(Interpolation!$I21*B20,1%)</f>
        <v>2.316E-2</v>
      </c>
      <c r="I20" s="15">
        <f>C20+MAX(Interpolation!$I21*C20,1%)</f>
        <v>3.0249999999999999E-2</v>
      </c>
      <c r="J20" s="15">
        <f>D20+MAX(Interpolation!$I21*D20,1%)</f>
        <v>1.499E-2</v>
      </c>
      <c r="K20" s="15">
        <f>E20+MAX(Interpolation!$I21*E20,1%)</f>
        <v>2.3559999999999998E-2</v>
      </c>
      <c r="L20" s="15">
        <f>F20+MAX(Interpolation!$I21*F20,1%)</f>
        <v>3.5150000000000001E-2</v>
      </c>
      <c r="M20" s="15">
        <f>G20+MAX(Interpolation!$I21*G20,1%)</f>
        <v>1.7090000000000001E-2</v>
      </c>
      <c r="N20" s="15">
        <f>B20-MAX(Interpolation!$J21*B20,0%)</f>
        <v>9.3436000000000005E-3</v>
      </c>
      <c r="O20" s="15">
        <f>C20-MAX(Interpolation!$J21*C20,0%)</f>
        <v>1.4377500000000001E-2</v>
      </c>
      <c r="P20" s="15">
        <f>D20-MAX(Interpolation!$J21*D20,0%)</f>
        <v>3.5428999999999999E-3</v>
      </c>
      <c r="Q20" s="15">
        <f>E20-MAX(Interpolation!$J21*E20,0%)</f>
        <v>9.6276E-3</v>
      </c>
      <c r="R20" s="15">
        <f>F20-MAX(Interpolation!$J21*F20,0%)</f>
        <v>1.7856500000000001E-2</v>
      </c>
      <c r="S20" s="15">
        <f>G20-MAX(Interpolation!$J21*G20,0%)</f>
        <v>5.0339E-3</v>
      </c>
    </row>
    <row r="21" spans="1:19" x14ac:dyDescent="0.25">
      <c r="A21" s="2">
        <v>20</v>
      </c>
      <c r="B21" s="4">
        <v>1.357E-2</v>
      </c>
      <c r="C21" s="4">
        <v>2.0670000000000001E-2</v>
      </c>
      <c r="D21" s="4">
        <v>5.4599999999999996E-3</v>
      </c>
      <c r="E21" s="4">
        <v>1.397E-2</v>
      </c>
      <c r="F21" s="4">
        <v>2.5569999999999999E-2</v>
      </c>
      <c r="G21" s="4">
        <v>7.5599999999999999E-3</v>
      </c>
      <c r="H21" s="15">
        <f>B21+MAX(Interpolation!$I22*B21,1%)</f>
        <v>2.3570000000000001E-2</v>
      </c>
      <c r="I21" s="15">
        <f>C21+MAX(Interpolation!$I22*C21,1%)</f>
        <v>3.0670000000000003E-2</v>
      </c>
      <c r="J21" s="15">
        <f>D21+MAX(Interpolation!$I22*D21,1%)</f>
        <v>1.546E-2</v>
      </c>
      <c r="K21" s="15">
        <f>E21+MAX(Interpolation!$I22*E21,1%)</f>
        <v>2.3969999999999998E-2</v>
      </c>
      <c r="L21" s="15">
        <f>F21+MAX(Interpolation!$I22*F21,1%)</f>
        <v>3.5569999999999997E-2</v>
      </c>
      <c r="M21" s="15">
        <f>G21+MAX(Interpolation!$I22*G21,1%)</f>
        <v>1.7559999999999999E-2</v>
      </c>
      <c r="N21" s="15">
        <f>B21-MAX(Interpolation!$J22*B21,0%)</f>
        <v>9.6346999999999995E-3</v>
      </c>
      <c r="O21" s="15">
        <f>C21-MAX(Interpolation!$J22*C21,0%)</f>
        <v>1.46757E-2</v>
      </c>
      <c r="P21" s="15">
        <f>D21-MAX(Interpolation!$J22*D21,0%)</f>
        <v>3.8766E-3</v>
      </c>
      <c r="Q21" s="15">
        <f>E21-MAX(Interpolation!$J22*E21,0%)</f>
        <v>9.918699999999999E-3</v>
      </c>
      <c r="R21" s="15">
        <f>F21-MAX(Interpolation!$J22*F21,0%)</f>
        <v>1.8154699999999999E-2</v>
      </c>
      <c r="S21" s="15">
        <f>G21-MAX(Interpolation!$J22*G21,0%)</f>
        <v>5.3676000000000001E-3</v>
      </c>
    </row>
    <row r="22" spans="1:19" x14ac:dyDescent="0.25">
      <c r="A22" s="1">
        <v>21</v>
      </c>
      <c r="B22" s="3">
        <v>1.4080000000000001E-2</v>
      </c>
      <c r="C22" s="3">
        <v>2.112E-2</v>
      </c>
      <c r="D22" s="3">
        <v>5.9100000000000003E-3</v>
      </c>
      <c r="E22" s="3">
        <v>1.447E-2</v>
      </c>
      <c r="F22" s="3">
        <v>2.5989999999999999E-2</v>
      </c>
      <c r="G22" s="3">
        <v>8.0000000000000002E-3</v>
      </c>
      <c r="H22" s="15">
        <f>B22+MAX(Interpolation!$I23*B22,1%)</f>
        <v>2.4080000000000001E-2</v>
      </c>
      <c r="I22" s="15">
        <f>C22+MAX(Interpolation!$I23*C22,1%)</f>
        <v>3.1120000000000002E-2</v>
      </c>
      <c r="J22" s="15">
        <f>D22+MAX(Interpolation!$I23*D22,1%)</f>
        <v>1.5910000000000001E-2</v>
      </c>
      <c r="K22" s="15">
        <f>E22+MAX(Interpolation!$I23*E22,1%)</f>
        <v>2.4469999999999999E-2</v>
      </c>
      <c r="L22" s="15">
        <f>F22+MAX(Interpolation!$I23*F22,1%)</f>
        <v>3.5990000000000001E-2</v>
      </c>
      <c r="M22" s="15">
        <f>G22+MAX(Interpolation!$I23*G22,1%)</f>
        <v>1.8000000000000002E-2</v>
      </c>
      <c r="N22" s="15">
        <f>B22-MAX(Interpolation!$J23*B22,0%)</f>
        <v>1.0014902857142858E-2</v>
      </c>
      <c r="O22" s="15">
        <f>C22-MAX(Interpolation!$J23*C22,0%)</f>
        <v>1.5022354285714285E-2</v>
      </c>
      <c r="P22" s="15">
        <f>D22-MAX(Interpolation!$J23*D22,0%)</f>
        <v>4.2036985714285716E-3</v>
      </c>
      <c r="Q22" s="15">
        <f>E22-MAX(Interpolation!$J23*E22,0%)</f>
        <v>1.0292304285714286E-2</v>
      </c>
      <c r="R22" s="15">
        <f>F22-MAX(Interpolation!$J23*F22,0%)</f>
        <v>1.8486315714285714E-2</v>
      </c>
      <c r="S22" s="15">
        <f>G22-MAX(Interpolation!$J23*G22,0%)</f>
        <v>5.6902857142857146E-3</v>
      </c>
    </row>
    <row r="23" spans="1:19" x14ac:dyDescent="0.25">
      <c r="A23" s="1">
        <v>22</v>
      </c>
      <c r="B23" s="3">
        <v>1.464E-2</v>
      </c>
      <c r="C23" s="3">
        <v>2.1579999999999998E-2</v>
      </c>
      <c r="D23" s="3">
        <v>6.3499999999999997E-3</v>
      </c>
      <c r="E23" s="3">
        <v>1.503E-2</v>
      </c>
      <c r="F23" s="3">
        <v>2.6409999999999999E-2</v>
      </c>
      <c r="G23" s="3">
        <v>8.4200000000000004E-3</v>
      </c>
      <c r="H23" s="15">
        <f>B23+MAX(Interpolation!$I24*B23,1%)</f>
        <v>2.4640000000000002E-2</v>
      </c>
      <c r="I23" s="15">
        <f>C23+MAX(Interpolation!$I24*C23,1%)</f>
        <v>3.1579999999999997E-2</v>
      </c>
      <c r="J23" s="15">
        <f>D23+MAX(Interpolation!$I24*D23,1%)</f>
        <v>1.635E-2</v>
      </c>
      <c r="K23" s="15">
        <f>E23+MAX(Interpolation!$I24*E23,1%)</f>
        <v>2.503E-2</v>
      </c>
      <c r="L23" s="15">
        <f>F23+MAX(Interpolation!$I24*F23,1%)</f>
        <v>3.6409999999999998E-2</v>
      </c>
      <c r="M23" s="15">
        <f>G23+MAX(Interpolation!$I24*G23,1%)</f>
        <v>1.8419999999999999E-2</v>
      </c>
      <c r="N23" s="15">
        <f>B23-MAX(Interpolation!$J24*B23,0%)</f>
        <v>1.0432045714285715E-2</v>
      </c>
      <c r="O23" s="15">
        <f>C23-MAX(Interpolation!$J24*C23,0%)</f>
        <v>1.5377291428571428E-2</v>
      </c>
      <c r="P23" s="15">
        <f>D23-MAX(Interpolation!$J24*D23,0%)</f>
        <v>4.524828571428571E-3</v>
      </c>
      <c r="Q23" s="15">
        <f>E23-MAX(Interpolation!$J24*E23,0%)</f>
        <v>1.0709948571428572E-2</v>
      </c>
      <c r="R23" s="15">
        <f>F23-MAX(Interpolation!$J24*F23,0%)</f>
        <v>1.8819011428571428E-2</v>
      </c>
      <c r="S23" s="15">
        <f>G23-MAX(Interpolation!$J24*G23,0%)</f>
        <v>5.9998514285714288E-3</v>
      </c>
    </row>
    <row r="24" spans="1:19" x14ac:dyDescent="0.25">
      <c r="A24" s="1">
        <v>23</v>
      </c>
      <c r="B24" s="3">
        <v>1.524E-2</v>
      </c>
      <c r="C24" s="3">
        <v>2.205E-2</v>
      </c>
      <c r="D24" s="3">
        <v>6.77E-3</v>
      </c>
      <c r="E24" s="3">
        <v>1.562E-2</v>
      </c>
      <c r="F24" s="3">
        <v>2.681E-2</v>
      </c>
      <c r="G24" s="3">
        <v>8.8199999999999997E-3</v>
      </c>
      <c r="H24" s="15">
        <f>B24+MAX(Interpolation!$I25*B24,1%)</f>
        <v>2.5239999999999999E-2</v>
      </c>
      <c r="I24" s="15">
        <f>C24+MAX(Interpolation!$I25*C24,1%)</f>
        <v>3.2050000000000002E-2</v>
      </c>
      <c r="J24" s="15">
        <f>D24+MAX(Interpolation!$I25*D24,1%)</f>
        <v>1.677E-2</v>
      </c>
      <c r="K24" s="15">
        <f>E24+MAX(Interpolation!$I25*E24,1%)</f>
        <v>2.562E-2</v>
      </c>
      <c r="L24" s="15">
        <f>F24+MAX(Interpolation!$I25*F24,1%)</f>
        <v>3.6810000000000002E-2</v>
      </c>
      <c r="M24" s="15">
        <f>G24+MAX(Interpolation!$I25*G24,1%)</f>
        <v>1.882E-2</v>
      </c>
      <c r="N24" s="15">
        <f>B24-MAX(Interpolation!$J25*B24,0%)</f>
        <v>1.0879182857142858E-2</v>
      </c>
      <c r="O24" s="15">
        <f>C24-MAX(Interpolation!$J25*C24,0%)</f>
        <v>1.5740549999999999E-2</v>
      </c>
      <c r="P24" s="15">
        <f>D24-MAX(Interpolation!$J25*D24,0%)</f>
        <v>4.8328128571428573E-3</v>
      </c>
      <c r="Q24" s="15">
        <f>E24-MAX(Interpolation!$J25*E24,0%)</f>
        <v>1.1150448571428571E-2</v>
      </c>
      <c r="R24" s="15">
        <f>F24-MAX(Interpolation!$J25*F24,0%)</f>
        <v>1.9138510000000001E-2</v>
      </c>
      <c r="S24" s="15">
        <f>G24-MAX(Interpolation!$J25*G24,0%)</f>
        <v>6.2962199999999999E-3</v>
      </c>
    </row>
    <row r="25" spans="1:19" x14ac:dyDescent="0.25">
      <c r="A25" s="1">
        <v>24</v>
      </c>
      <c r="B25" s="3">
        <v>1.5859999999999999E-2</v>
      </c>
      <c r="C25" s="3">
        <v>2.2519999999999998E-2</v>
      </c>
      <c r="D25" s="3">
        <v>7.1700000000000002E-3</v>
      </c>
      <c r="E25" s="3">
        <v>1.6240000000000001E-2</v>
      </c>
      <c r="F25" s="3">
        <v>2.7189999999999999E-2</v>
      </c>
      <c r="G25" s="3">
        <v>9.1900000000000003E-3</v>
      </c>
      <c r="H25" s="15">
        <f>B25+MAX(Interpolation!$I26*B25,1%)</f>
        <v>2.5860000000000001E-2</v>
      </c>
      <c r="I25" s="15">
        <f>C25+MAX(Interpolation!$I26*C25,1%)</f>
        <v>3.252E-2</v>
      </c>
      <c r="J25" s="15">
        <f>D25+MAX(Interpolation!$I26*D25,1%)</f>
        <v>1.7170000000000001E-2</v>
      </c>
      <c r="K25" s="15">
        <f>E25+MAX(Interpolation!$I26*E25,1%)</f>
        <v>2.6239999999999999E-2</v>
      </c>
      <c r="L25" s="15">
        <f>F25+MAX(Interpolation!$I26*F25,1%)</f>
        <v>3.7190000000000001E-2</v>
      </c>
      <c r="M25" s="15">
        <f>G25+MAX(Interpolation!$I26*G25,1%)</f>
        <v>1.9189999999999999E-2</v>
      </c>
      <c r="N25" s="15">
        <f>B25-MAX(Interpolation!$J26*B25,0%)</f>
        <v>1.1342165714285713E-2</v>
      </c>
      <c r="O25" s="15">
        <f>C25-MAX(Interpolation!$J26*C25,0%)</f>
        <v>1.6105017142857142E-2</v>
      </c>
      <c r="P25" s="15">
        <f>D25-MAX(Interpolation!$J26*D25,0%)</f>
        <v>5.1275742857142858E-3</v>
      </c>
      <c r="Q25" s="15">
        <f>E25-MAX(Interpolation!$J26*E25,0%)</f>
        <v>1.161392E-2</v>
      </c>
      <c r="R25" s="15">
        <f>F25-MAX(Interpolation!$J26*F25,0%)</f>
        <v>1.9444734285714284E-2</v>
      </c>
      <c r="S25" s="15">
        <f>G25-MAX(Interpolation!$J26*G25,0%)</f>
        <v>6.5721628571428579E-3</v>
      </c>
    </row>
    <row r="26" spans="1:19" x14ac:dyDescent="0.25">
      <c r="A26" s="2">
        <v>25</v>
      </c>
      <c r="B26" s="4">
        <v>1.6490000000000001E-2</v>
      </c>
      <c r="C26" s="4">
        <v>2.298E-2</v>
      </c>
      <c r="D26" s="4">
        <v>7.5599999999999999E-3</v>
      </c>
      <c r="E26" s="4">
        <v>1.686E-2</v>
      </c>
      <c r="F26" s="4">
        <v>2.7570000000000001E-2</v>
      </c>
      <c r="G26" s="4">
        <v>9.5399999999999999E-3</v>
      </c>
      <c r="H26" s="15">
        <f>B26+MAX(Interpolation!$I27*B26,1%)</f>
        <v>2.649E-2</v>
      </c>
      <c r="I26" s="15">
        <f>C26+MAX(Interpolation!$I27*C26,1%)</f>
        <v>3.2980000000000002E-2</v>
      </c>
      <c r="J26" s="15">
        <f>D26+MAX(Interpolation!$I27*D26,1%)</f>
        <v>1.7559999999999999E-2</v>
      </c>
      <c r="K26" s="15">
        <f>E26+MAX(Interpolation!$I27*E26,1%)</f>
        <v>2.6860000000000002E-2</v>
      </c>
      <c r="L26" s="15">
        <f>F26+MAX(Interpolation!$I27*F26,1%)</f>
        <v>3.7569999999999999E-2</v>
      </c>
      <c r="M26" s="15">
        <f>G26+MAX(Interpolation!$I27*G26,1%)</f>
        <v>1.9540000000000002E-2</v>
      </c>
      <c r="N26" s="15">
        <f>B26-MAX(Interpolation!$J27*B26,0%)</f>
        <v>1.1813907142857145E-2</v>
      </c>
      <c r="O26" s="15">
        <f>C26-MAX(Interpolation!$J27*C26,0%)</f>
        <v>1.6463528571428573E-2</v>
      </c>
      <c r="P26" s="15">
        <f>D26-MAX(Interpolation!$J27*D26,0%)</f>
        <v>5.4161999999999995E-3</v>
      </c>
      <c r="Q26" s="15">
        <f>E26-MAX(Interpolation!$J27*E26,0%)</f>
        <v>1.2078985714285714E-2</v>
      </c>
      <c r="R26" s="15">
        <f>F26-MAX(Interpolation!$J27*F26,0%)</f>
        <v>1.9751935714285712E-2</v>
      </c>
      <c r="S26" s="15">
        <f>G26-MAX(Interpolation!$J27*G26,0%)</f>
        <v>6.8347285714285711E-3</v>
      </c>
    </row>
    <row r="27" spans="1:19" x14ac:dyDescent="0.25">
      <c r="A27" s="1">
        <v>26</v>
      </c>
      <c r="B27" s="3">
        <v>1.7129999999999999E-2</v>
      </c>
      <c r="C27" s="3">
        <v>2.3429999999999999E-2</v>
      </c>
      <c r="D27" s="3">
        <v>7.9299999999999995E-3</v>
      </c>
      <c r="E27" s="3">
        <v>1.7489999999999999E-2</v>
      </c>
      <c r="F27" s="3">
        <v>2.793E-2</v>
      </c>
      <c r="G27" s="3">
        <v>9.8700000000000003E-3</v>
      </c>
      <c r="H27" s="15">
        <f>B27+MAX(Interpolation!$I28*B27,1%)</f>
        <v>2.7130000000000001E-2</v>
      </c>
      <c r="I27" s="15">
        <f>C27+MAX(Interpolation!$I28*C27,1%)</f>
        <v>3.3430000000000001E-2</v>
      </c>
      <c r="J27" s="15">
        <f>D27+MAX(Interpolation!$I28*D27,1%)</f>
        <v>1.7930000000000001E-2</v>
      </c>
      <c r="K27" s="15">
        <f>E27+MAX(Interpolation!$I28*E27,1%)</f>
        <v>2.7490000000000001E-2</v>
      </c>
      <c r="L27" s="15">
        <f>F27+MAX(Interpolation!$I28*F27,1%)</f>
        <v>3.7929999999999998E-2</v>
      </c>
      <c r="M27" s="15">
        <f>G27+MAX(Interpolation!$I28*G27,1%)</f>
        <v>1.9869999999999999E-2</v>
      </c>
      <c r="N27" s="15">
        <f>B27-MAX(Interpolation!$J28*B27,0%)</f>
        <v>1.2294445714285713E-2</v>
      </c>
      <c r="O27" s="15">
        <f>C27-MAX(Interpolation!$J28*C27,0%)</f>
        <v>1.6816045714285712E-2</v>
      </c>
      <c r="P27" s="15">
        <f>D27-MAX(Interpolation!$J28*D27,0%)</f>
        <v>5.6914742857142857E-3</v>
      </c>
      <c r="Q27" s="15">
        <f>E27-MAX(Interpolation!$J28*E27,0%)</f>
        <v>1.2552822857142855E-2</v>
      </c>
      <c r="R27" s="15">
        <f>F27-MAX(Interpolation!$J28*F27,0%)</f>
        <v>2.0045759999999999E-2</v>
      </c>
      <c r="S27" s="15">
        <f>G27-MAX(Interpolation!$J28*G27,0%)</f>
        <v>7.0838400000000001E-3</v>
      </c>
    </row>
    <row r="28" spans="1:19" x14ac:dyDescent="0.25">
      <c r="A28" s="1">
        <v>27</v>
      </c>
      <c r="B28" s="3">
        <v>1.7749999999999998E-2</v>
      </c>
      <c r="C28" s="3">
        <v>2.3869999999999999E-2</v>
      </c>
      <c r="D28" s="3">
        <v>8.2799999999999992E-3</v>
      </c>
      <c r="E28" s="3">
        <v>1.8110000000000001E-2</v>
      </c>
      <c r="F28" s="3">
        <v>2.827E-2</v>
      </c>
      <c r="G28" s="3">
        <v>1.018E-2</v>
      </c>
      <c r="H28" s="15">
        <f>B28+MAX(Interpolation!$I29*B28,1%)</f>
        <v>2.7749999999999997E-2</v>
      </c>
      <c r="I28" s="15">
        <f>C28+MAX(Interpolation!$I29*C28,1%)</f>
        <v>3.3869999999999997E-2</v>
      </c>
      <c r="J28" s="15">
        <f>D28+MAX(Interpolation!$I29*D28,1%)</f>
        <v>1.8279999999999998E-2</v>
      </c>
      <c r="K28" s="15">
        <f>E28+MAX(Interpolation!$I29*E28,1%)</f>
        <v>2.8110000000000003E-2</v>
      </c>
      <c r="L28" s="15">
        <f>F28+MAX(Interpolation!$I29*F28,1%)</f>
        <v>3.8269999999999998E-2</v>
      </c>
      <c r="M28" s="15">
        <f>G28+MAX(Interpolation!$I29*G28,1%)</f>
        <v>2.018E-2</v>
      </c>
      <c r="N28" s="15">
        <f>B28-MAX(Interpolation!$J29*B28,0%)</f>
        <v>1.2762249999999999E-2</v>
      </c>
      <c r="O28" s="15">
        <f>C28-MAX(Interpolation!$J29*C28,0%)</f>
        <v>1.7162529999999999E-2</v>
      </c>
      <c r="P28" s="15">
        <f>D28-MAX(Interpolation!$J29*D28,0%)</f>
        <v>5.9533199999999998E-3</v>
      </c>
      <c r="Q28" s="15">
        <f>E28-MAX(Interpolation!$J29*E28,0%)</f>
        <v>1.3021089999999999E-2</v>
      </c>
      <c r="R28" s="15">
        <f>F28-MAX(Interpolation!$J29*F28,0%)</f>
        <v>2.0326129999999998E-2</v>
      </c>
      <c r="S28" s="15">
        <f>G28-MAX(Interpolation!$J29*G28,0%)</f>
        <v>7.3194200000000001E-3</v>
      </c>
    </row>
    <row r="29" spans="1:19" x14ac:dyDescent="0.25">
      <c r="A29" s="1">
        <v>28</v>
      </c>
      <c r="B29" s="3">
        <v>1.8370000000000001E-2</v>
      </c>
      <c r="C29" s="3">
        <v>2.4309999999999998E-2</v>
      </c>
      <c r="D29" s="3">
        <v>8.6199999999999992E-3</v>
      </c>
      <c r="E29" s="3">
        <v>1.8710000000000001E-2</v>
      </c>
      <c r="F29" s="3">
        <v>2.86E-2</v>
      </c>
      <c r="G29" s="3">
        <v>1.048E-2</v>
      </c>
      <c r="H29" s="15">
        <f>B29+MAX(Interpolation!$I30*B29,1%)</f>
        <v>2.8369999999999999E-2</v>
      </c>
      <c r="I29" s="15">
        <f>C29+MAX(Interpolation!$I30*C29,1%)</f>
        <v>3.431E-2</v>
      </c>
      <c r="J29" s="15">
        <f>D29+MAX(Interpolation!$I30*D29,1%)</f>
        <v>1.8619999999999998E-2</v>
      </c>
      <c r="K29" s="15">
        <f>E29+MAX(Interpolation!$I30*E29,1%)</f>
        <v>2.8709999999999999E-2</v>
      </c>
      <c r="L29" s="15">
        <f>F29+MAX(Interpolation!$I30*F29,1%)</f>
        <v>3.8600000000000002E-2</v>
      </c>
      <c r="M29" s="15">
        <f>G29+MAX(Interpolation!$I30*G29,1%)</f>
        <v>2.0479999999999998E-2</v>
      </c>
      <c r="N29" s="15">
        <f>B29-MAX(Interpolation!$J30*B29,0%)</f>
        <v>1.3231648571428571E-2</v>
      </c>
      <c r="O29" s="15">
        <f>C29-MAX(Interpolation!$J30*C29,0%)</f>
        <v>1.7510145714285712E-2</v>
      </c>
      <c r="P29" s="15">
        <f>D29-MAX(Interpolation!$J30*D29,0%)</f>
        <v>6.2088628571428557E-3</v>
      </c>
      <c r="Q29" s="15">
        <f>E29-MAX(Interpolation!$J30*E29,0%)</f>
        <v>1.3476545714285713E-2</v>
      </c>
      <c r="R29" s="15">
        <f>F29-MAX(Interpolation!$J30*F29,0%)</f>
        <v>2.0600171428571429E-2</v>
      </c>
      <c r="S29" s="15">
        <f>G29-MAX(Interpolation!$J30*G29,0%)</f>
        <v>7.5485942857142852E-3</v>
      </c>
    </row>
    <row r="30" spans="1:19" x14ac:dyDescent="0.25">
      <c r="A30" s="1">
        <v>29</v>
      </c>
      <c r="B30" s="3">
        <v>1.8970000000000001E-2</v>
      </c>
      <c r="C30" s="3">
        <v>2.4729999999999999E-2</v>
      </c>
      <c r="D30" s="3">
        <v>8.94E-3</v>
      </c>
      <c r="E30" s="3">
        <v>1.9310000000000001E-2</v>
      </c>
      <c r="F30" s="3">
        <v>2.8920000000000001E-2</v>
      </c>
      <c r="G30" s="3">
        <v>1.077E-2</v>
      </c>
      <c r="H30" s="15">
        <f>B30+MAX(Interpolation!$I31*B30,1%)</f>
        <v>2.8970000000000003E-2</v>
      </c>
      <c r="I30" s="15">
        <f>C30+MAX(Interpolation!$I31*C30,1%)</f>
        <v>3.4729999999999997E-2</v>
      </c>
      <c r="J30" s="15">
        <f>D30+MAX(Interpolation!$I31*D30,1%)</f>
        <v>1.8939999999999999E-2</v>
      </c>
      <c r="K30" s="15">
        <f>E30+MAX(Interpolation!$I31*E30,1%)</f>
        <v>2.9310000000000003E-2</v>
      </c>
      <c r="L30" s="15">
        <f>F30+MAX(Interpolation!$I31*F30,1%)</f>
        <v>3.8920000000000003E-2</v>
      </c>
      <c r="M30" s="15">
        <f>G30+MAX(Interpolation!$I31*G30,1%)</f>
        <v>2.077E-2</v>
      </c>
      <c r="N30" s="15">
        <f>B30-MAX(Interpolation!$J31*B30,0%)</f>
        <v>1.3688209999999999E-2</v>
      </c>
      <c r="O30" s="15">
        <f>C30-MAX(Interpolation!$J31*C30,0%)</f>
        <v>1.7844461428571427E-2</v>
      </c>
      <c r="P30" s="15">
        <f>D30-MAX(Interpolation!$J31*D30,0%)</f>
        <v>6.4508485714285715E-3</v>
      </c>
      <c r="Q30" s="15">
        <f>E30-MAX(Interpolation!$J31*E30,0%)</f>
        <v>1.3933544285714285E-2</v>
      </c>
      <c r="R30" s="15">
        <f>F30-MAX(Interpolation!$J31*F30,0%)</f>
        <v>2.0867845714285713E-2</v>
      </c>
      <c r="S30" s="15">
        <f>G30-MAX(Interpolation!$J31*G30,0%)</f>
        <v>7.7713242857142852E-3</v>
      </c>
    </row>
    <row r="31" spans="1:19" x14ac:dyDescent="0.25">
      <c r="A31" s="2">
        <v>30</v>
      </c>
      <c r="B31" s="4">
        <v>1.9560000000000001E-2</v>
      </c>
      <c r="C31" s="4">
        <v>2.513E-2</v>
      </c>
      <c r="D31" s="4">
        <v>9.2499999999999995E-3</v>
      </c>
      <c r="E31" s="4">
        <v>1.9890000000000001E-2</v>
      </c>
      <c r="F31" s="4">
        <v>2.9229999999999999E-2</v>
      </c>
      <c r="G31" s="4">
        <v>1.103E-2</v>
      </c>
      <c r="H31" s="15">
        <f>B31+MAX(Interpolation!$I32*B31,1%)</f>
        <v>2.9560000000000003E-2</v>
      </c>
      <c r="I31" s="15">
        <f>C31+MAX(Interpolation!$I32*C31,1%)</f>
        <v>3.5130000000000002E-2</v>
      </c>
      <c r="J31" s="15">
        <f>D31+MAX(Interpolation!$I32*D31,1%)</f>
        <v>1.925E-2</v>
      </c>
      <c r="K31" s="15">
        <f>E31+MAX(Interpolation!$I32*E31,1%)</f>
        <v>2.989E-2</v>
      </c>
      <c r="L31" s="15">
        <f>F31+MAX(Interpolation!$I32*F31,1%)</f>
        <v>3.9230000000000001E-2</v>
      </c>
      <c r="M31" s="15">
        <f>G31+MAX(Interpolation!$I32*G31,1%)</f>
        <v>2.103E-2</v>
      </c>
      <c r="N31" s="15">
        <f>B31-MAX(Interpolation!$J32*B31,0%)</f>
        <v>1.4139085714285713E-2</v>
      </c>
      <c r="O31" s="15">
        <f>C31-MAX(Interpolation!$J32*C31,0%)</f>
        <v>1.8165399999999998E-2</v>
      </c>
      <c r="P31" s="15">
        <f>D31-MAX(Interpolation!$J32*D31,0%)</f>
        <v>6.6864285714285706E-3</v>
      </c>
      <c r="Q31" s="15">
        <f>E31-MAX(Interpolation!$J32*E31,0%)</f>
        <v>1.4377628571428571E-2</v>
      </c>
      <c r="R31" s="15">
        <f>F31-MAX(Interpolation!$J32*F31,0%)</f>
        <v>2.1129114285714283E-2</v>
      </c>
      <c r="S31" s="15">
        <f>G31-MAX(Interpolation!$J32*G31,0%)</f>
        <v>7.9731142857142855E-3</v>
      </c>
    </row>
    <row r="32" spans="1:19" x14ac:dyDescent="0.25">
      <c r="A32" s="1">
        <v>31</v>
      </c>
      <c r="B32" s="3">
        <v>2.0129999999999999E-2</v>
      </c>
      <c r="C32" s="3">
        <v>2.5520000000000001E-2</v>
      </c>
      <c r="D32" s="3">
        <v>9.5499999999999995E-3</v>
      </c>
      <c r="E32" s="3">
        <v>2.0449999999999999E-2</v>
      </c>
      <c r="F32" s="3">
        <v>2.9520000000000001E-2</v>
      </c>
      <c r="G32" s="3">
        <v>1.129E-2</v>
      </c>
      <c r="H32" s="15">
        <f>B32+MAX(Interpolation!$I33*B32,1%)</f>
        <v>3.0129999999999997E-2</v>
      </c>
      <c r="I32" s="15">
        <f>C32+MAX(Interpolation!$I33*C32,1%)</f>
        <v>3.5520000000000003E-2</v>
      </c>
      <c r="J32" s="15">
        <f>D32+MAX(Interpolation!$I33*D32,1%)</f>
        <v>1.9549999999999998E-2</v>
      </c>
      <c r="K32" s="15">
        <f>E32+MAX(Interpolation!$I33*E32,1%)</f>
        <v>3.0449999999999998E-2</v>
      </c>
      <c r="L32" s="15">
        <f>F32+MAX(Interpolation!$I33*F32,1%)</f>
        <v>3.952E-2</v>
      </c>
      <c r="M32" s="15">
        <f>G32+MAX(Interpolation!$I33*G32,1%)</f>
        <v>2.129E-2</v>
      </c>
      <c r="N32" s="15">
        <f>B32-MAX(Interpolation!$J33*B32,0%)</f>
        <v>1.4576995714285713E-2</v>
      </c>
      <c r="O32" s="15">
        <f>C32-MAX(Interpolation!$J33*C32,0%)</f>
        <v>1.8480125714285714E-2</v>
      </c>
      <c r="P32" s="15">
        <f>D32-MAX(Interpolation!$J33*D32,0%)</f>
        <v>6.9155642857142846E-3</v>
      </c>
      <c r="Q32" s="15">
        <f>E32-MAX(Interpolation!$J33*E32,0%)</f>
        <v>1.4808721428571427E-2</v>
      </c>
      <c r="R32" s="15">
        <f>F32-MAX(Interpolation!$J33*F32,0%)</f>
        <v>2.1376697142857143E-2</v>
      </c>
      <c r="S32" s="15">
        <f>G32-MAX(Interpolation!$J33*G32,0%)</f>
        <v>8.1755728571428557E-3</v>
      </c>
    </row>
    <row r="33" spans="1:19" x14ac:dyDescent="0.25">
      <c r="A33" s="1">
        <v>32</v>
      </c>
      <c r="B33" s="3">
        <v>2.069E-2</v>
      </c>
      <c r="C33" s="3">
        <v>2.5899999999999999E-2</v>
      </c>
      <c r="D33" s="3">
        <v>9.8300000000000002E-3</v>
      </c>
      <c r="E33" s="3">
        <v>2.1000000000000001E-2</v>
      </c>
      <c r="F33" s="3">
        <v>2.981E-2</v>
      </c>
      <c r="G33" s="3">
        <v>1.153E-2</v>
      </c>
      <c r="H33" s="15">
        <f>B33+MAX(Interpolation!$I34*B33,1%)</f>
        <v>3.0690000000000002E-2</v>
      </c>
      <c r="I33" s="15">
        <f>C33+MAX(Interpolation!$I34*C33,1%)</f>
        <v>3.5900000000000001E-2</v>
      </c>
      <c r="J33" s="15">
        <f>D33+MAX(Interpolation!$I34*D33,1%)</f>
        <v>1.983E-2</v>
      </c>
      <c r="K33" s="15">
        <f>E33+MAX(Interpolation!$I34*E33,1%)</f>
        <v>3.1E-2</v>
      </c>
      <c r="L33" s="15">
        <f>F33+MAX(Interpolation!$I34*F33,1%)</f>
        <v>3.9809999999999998E-2</v>
      </c>
      <c r="M33" s="15">
        <f>G33+MAX(Interpolation!$I34*G33,1%)</f>
        <v>2.1530000000000001E-2</v>
      </c>
      <c r="N33" s="15">
        <f>B33-MAX(Interpolation!$J34*B33,0%)</f>
        <v>1.5009117142857142E-2</v>
      </c>
      <c r="O33" s="15">
        <f>C33-MAX(Interpolation!$J34*C33,0%)</f>
        <v>1.8788599999999999E-2</v>
      </c>
      <c r="P33" s="15">
        <f>D33-MAX(Interpolation!$J34*D33,0%)</f>
        <v>7.1309628571428561E-3</v>
      </c>
      <c r="Q33" s="15">
        <f>E33-MAX(Interpolation!$J34*E33,0%)</f>
        <v>1.5233999999999999E-2</v>
      </c>
      <c r="R33" s="15">
        <f>F33-MAX(Interpolation!$J34*F33,0%)</f>
        <v>2.1625025714285713E-2</v>
      </c>
      <c r="S33" s="15">
        <f>G33-MAX(Interpolation!$J34*G33,0%)</f>
        <v>8.3641914285714283E-3</v>
      </c>
    </row>
    <row r="34" spans="1:19" x14ac:dyDescent="0.25">
      <c r="A34" s="1">
        <v>33</v>
      </c>
      <c r="B34" s="3">
        <v>2.1219999999999999E-2</v>
      </c>
      <c r="C34" s="3">
        <v>2.6270000000000002E-2</v>
      </c>
      <c r="D34" s="3">
        <v>1.01E-2</v>
      </c>
      <c r="E34" s="3">
        <v>2.1520000000000001E-2</v>
      </c>
      <c r="F34" s="3">
        <v>3.0079999999999999E-2</v>
      </c>
      <c r="G34" s="3">
        <v>1.1769999999999999E-2</v>
      </c>
      <c r="H34" s="15">
        <f>B34+MAX(Interpolation!$I35*B34,1%)</f>
        <v>3.1219999999999998E-2</v>
      </c>
      <c r="I34" s="15">
        <f>C34+MAX(Interpolation!$I35*C34,1%)</f>
        <v>3.6270000000000004E-2</v>
      </c>
      <c r="J34" s="15">
        <f>D34+MAX(Interpolation!$I35*D34,1%)</f>
        <v>2.01E-2</v>
      </c>
      <c r="K34" s="15">
        <f>E34+MAX(Interpolation!$I35*E34,1%)</f>
        <v>3.1519999999999999E-2</v>
      </c>
      <c r="L34" s="15">
        <f>F34+MAX(Interpolation!$I35*F34,1%)</f>
        <v>4.0079999999999998E-2</v>
      </c>
      <c r="M34" s="15">
        <f>G34+MAX(Interpolation!$I35*G34,1%)</f>
        <v>2.1769999999999998E-2</v>
      </c>
      <c r="N34" s="15">
        <f>B34-MAX(Interpolation!$J35*B34,0%)</f>
        <v>1.5420877142857141E-2</v>
      </c>
      <c r="O34" s="15">
        <f>C34-MAX(Interpolation!$J35*C34,0%)</f>
        <v>1.9090784285714285E-2</v>
      </c>
      <c r="P34" s="15">
        <f>D34-MAX(Interpolation!$J35*D34,0%)</f>
        <v>7.3398142857142848E-3</v>
      </c>
      <c r="Q34" s="15">
        <f>E34-MAX(Interpolation!$J35*E34,0%)</f>
        <v>1.5638891428571427E-2</v>
      </c>
      <c r="R34" s="15">
        <f>F34-MAX(Interpolation!$J35*F34,0%)</f>
        <v>2.1859565714285711E-2</v>
      </c>
      <c r="S34" s="15">
        <f>G34-MAX(Interpolation!$J35*G34,0%)</f>
        <v>8.5534271428571416E-3</v>
      </c>
    </row>
    <row r="35" spans="1:19" x14ac:dyDescent="0.25">
      <c r="A35" s="1">
        <v>34</v>
      </c>
      <c r="B35" s="3">
        <v>2.1739999999999999E-2</v>
      </c>
      <c r="C35" s="3">
        <v>2.6620000000000001E-2</v>
      </c>
      <c r="D35" s="3">
        <v>1.0359999999999999E-2</v>
      </c>
      <c r="E35" s="3">
        <v>2.2030000000000001E-2</v>
      </c>
      <c r="F35" s="3">
        <v>3.0339999999999999E-2</v>
      </c>
      <c r="G35" s="3">
        <v>1.1990000000000001E-2</v>
      </c>
      <c r="H35" s="15">
        <f>B35+MAX(Interpolation!$I36*B35,1%)</f>
        <v>3.1739999999999997E-2</v>
      </c>
      <c r="I35" s="15">
        <f>C35+MAX(Interpolation!$I36*C35,1%)</f>
        <v>3.662E-2</v>
      </c>
      <c r="J35" s="15">
        <f>D35+MAX(Interpolation!$I36*D35,1%)</f>
        <v>2.036E-2</v>
      </c>
      <c r="K35" s="15">
        <f>E35+MAX(Interpolation!$I36*E35,1%)</f>
        <v>3.2030000000000003E-2</v>
      </c>
      <c r="L35" s="15">
        <f>F35+MAX(Interpolation!$I36*F35,1%)</f>
        <v>4.0340000000000001E-2</v>
      </c>
      <c r="M35" s="15">
        <f>G35+MAX(Interpolation!$I36*G35,1%)</f>
        <v>2.1990000000000003E-2</v>
      </c>
      <c r="N35" s="15">
        <f>B35-MAX(Interpolation!$J36*B35,0%)</f>
        <v>1.5826719999999996E-2</v>
      </c>
      <c r="O35" s="15">
        <f>C35-MAX(Interpolation!$J36*C35,0%)</f>
        <v>1.9379359999999998E-2</v>
      </c>
      <c r="P35" s="15">
        <f>D35-MAX(Interpolation!$J36*D35,0%)</f>
        <v>7.5420799999999988E-3</v>
      </c>
      <c r="Q35" s="15">
        <f>E35-MAX(Interpolation!$J36*E35,0%)</f>
        <v>1.6037839999999998E-2</v>
      </c>
      <c r="R35" s="15">
        <f>F35-MAX(Interpolation!$J36*F35,0%)</f>
        <v>2.2087519999999999E-2</v>
      </c>
      <c r="S35" s="15">
        <f>G35-MAX(Interpolation!$J36*G35,0%)</f>
        <v>8.7287199999999988E-3</v>
      </c>
    </row>
    <row r="36" spans="1:19" x14ac:dyDescent="0.25">
      <c r="A36" s="2">
        <v>35</v>
      </c>
      <c r="B36" s="4">
        <v>2.223E-2</v>
      </c>
      <c r="C36" s="4">
        <v>2.6960000000000001E-2</v>
      </c>
      <c r="D36" s="4">
        <v>1.061E-2</v>
      </c>
      <c r="E36" s="4">
        <v>2.2519999999999998E-2</v>
      </c>
      <c r="F36" s="4">
        <v>3.0589999999999999E-2</v>
      </c>
      <c r="G36" s="4">
        <v>1.2200000000000001E-2</v>
      </c>
      <c r="H36" s="15">
        <f>B36+MAX(Interpolation!$I37*B36,1%)</f>
        <v>3.2230000000000002E-2</v>
      </c>
      <c r="I36" s="15">
        <f>C36+MAX(Interpolation!$I37*C36,1%)</f>
        <v>3.696E-2</v>
      </c>
      <c r="J36" s="15">
        <f>D36+MAX(Interpolation!$I37*D36,1%)</f>
        <v>2.061E-2</v>
      </c>
      <c r="K36" s="15">
        <f>E36+MAX(Interpolation!$I37*E36,1%)</f>
        <v>3.252E-2</v>
      </c>
      <c r="L36" s="15">
        <f>F36+MAX(Interpolation!$I37*F36,1%)</f>
        <v>4.0590000000000001E-2</v>
      </c>
      <c r="M36" s="15">
        <f>G36+MAX(Interpolation!$I37*G36,1%)</f>
        <v>2.2200000000000001E-2</v>
      </c>
      <c r="N36" s="15">
        <f>B36-MAX(Interpolation!$J37*B36,0%)</f>
        <v>1.6212021428571428E-2</v>
      </c>
      <c r="O36" s="15">
        <f>C36-MAX(Interpolation!$J37*C36,0%)</f>
        <v>1.9661542857142854E-2</v>
      </c>
      <c r="P36" s="15">
        <f>D36-MAX(Interpolation!$J37*D36,0%)</f>
        <v>7.7377214285714278E-3</v>
      </c>
      <c r="Q36" s="15">
        <f>E36-MAX(Interpolation!$J37*E36,0%)</f>
        <v>1.6423514285714282E-2</v>
      </c>
      <c r="R36" s="15">
        <f>F36-MAX(Interpolation!$J37*F36,0%)</f>
        <v>2.2308849999999998E-2</v>
      </c>
      <c r="S36" s="15">
        <f>G36-MAX(Interpolation!$J37*G36,0%)</f>
        <v>8.8972857142857135E-3</v>
      </c>
    </row>
    <row r="37" spans="1:19" x14ac:dyDescent="0.25">
      <c r="A37" s="1">
        <v>36</v>
      </c>
      <c r="B37" s="3">
        <v>2.2710000000000001E-2</v>
      </c>
      <c r="C37" s="3">
        <v>2.7289999999999998E-2</v>
      </c>
      <c r="D37" s="3">
        <v>1.085E-2</v>
      </c>
      <c r="E37" s="3">
        <v>2.299E-2</v>
      </c>
      <c r="F37" s="3">
        <v>3.083E-2</v>
      </c>
      <c r="G37" s="3">
        <v>1.24E-2</v>
      </c>
      <c r="H37" s="15">
        <f>B37+MAX(Interpolation!$I38*B37,1%)</f>
        <v>3.2710000000000003E-2</v>
      </c>
      <c r="I37" s="15">
        <f>C37+MAX(Interpolation!$I38*C37,1%)</f>
        <v>3.7289999999999997E-2</v>
      </c>
      <c r="J37" s="15">
        <f>D37+MAX(Interpolation!$I38*D37,1%)</f>
        <v>2.085E-2</v>
      </c>
      <c r="K37" s="15">
        <f>E37+MAX(Interpolation!$I38*E37,1%)</f>
        <v>3.2989999999999998E-2</v>
      </c>
      <c r="L37" s="15">
        <f>F37+MAX(Interpolation!$I38*F37,1%)</f>
        <v>4.0829999999999998E-2</v>
      </c>
      <c r="M37" s="15">
        <f>G37+MAX(Interpolation!$I38*G37,1%)</f>
        <v>2.24E-2</v>
      </c>
      <c r="N37" s="15">
        <f>B37-MAX(Interpolation!$J38*B37,0%)</f>
        <v>1.6591277142857141E-2</v>
      </c>
      <c r="O37" s="15">
        <f>C37-MAX(Interpolation!$J38*C37,0%)</f>
        <v>1.9937294285714283E-2</v>
      </c>
      <c r="P37" s="15">
        <f>D37-MAX(Interpolation!$J38*D37,0%)</f>
        <v>7.9266999999999983E-3</v>
      </c>
      <c r="Q37" s="15">
        <f>E37-MAX(Interpolation!$J38*E37,0%)</f>
        <v>1.679583714285714E-2</v>
      </c>
      <c r="R37" s="15">
        <f>F37-MAX(Interpolation!$J38*F37,0%)</f>
        <v>2.2523517142857139E-2</v>
      </c>
      <c r="S37" s="15">
        <f>G37-MAX(Interpolation!$J38*G37,0%)</f>
        <v>9.0590857142857119E-3</v>
      </c>
    </row>
    <row r="38" spans="1:19" x14ac:dyDescent="0.25">
      <c r="A38" s="1">
        <v>37</v>
      </c>
      <c r="B38" s="3">
        <v>2.317E-2</v>
      </c>
      <c r="C38" s="3">
        <v>2.76E-2</v>
      </c>
      <c r="D38" s="3">
        <v>1.108E-2</v>
      </c>
      <c r="E38" s="3">
        <v>2.3449999999999999E-2</v>
      </c>
      <c r="F38" s="3">
        <v>3.1060000000000001E-2</v>
      </c>
      <c r="G38" s="3">
        <v>1.259E-2</v>
      </c>
      <c r="H38" s="15">
        <f>B38+MAX(Interpolation!$I39*B38,1%)</f>
        <v>3.3169999999999998E-2</v>
      </c>
      <c r="I38" s="15">
        <f>C38+MAX(Interpolation!$I39*C38,1%)</f>
        <v>3.7600000000000001E-2</v>
      </c>
      <c r="J38" s="15">
        <f>D38+MAX(Interpolation!$I39*D38,1%)</f>
        <v>2.1080000000000002E-2</v>
      </c>
      <c r="K38" s="15">
        <f>E38+MAX(Interpolation!$I39*E38,1%)</f>
        <v>3.3450000000000001E-2</v>
      </c>
      <c r="L38" s="15">
        <f>F38+MAX(Interpolation!$I39*F38,1%)</f>
        <v>4.1059999999999999E-2</v>
      </c>
      <c r="M38" s="15">
        <f>G38+MAX(Interpolation!$I39*G38,1%)</f>
        <v>2.2589999999999999E-2</v>
      </c>
      <c r="N38" s="15">
        <f>B38-MAX(Interpolation!$J39*B38,0%)</f>
        <v>1.6957129999999997E-2</v>
      </c>
      <c r="O38" s="15">
        <f>C38-MAX(Interpolation!$J39*C38,0%)</f>
        <v>2.0199257142857141E-2</v>
      </c>
      <c r="P38" s="15">
        <f>D38-MAX(Interpolation!$J39*D38,0%)</f>
        <v>8.1089771428571409E-3</v>
      </c>
      <c r="Q38" s="15">
        <f>E38-MAX(Interpolation!$J39*E38,0%)</f>
        <v>1.7162049999999998E-2</v>
      </c>
      <c r="R38" s="15">
        <f>F38-MAX(Interpolation!$J39*F38,0%)</f>
        <v>2.2731482857142854E-2</v>
      </c>
      <c r="S38" s="15">
        <f>G38-MAX(Interpolation!$J39*G38,0%)</f>
        <v>9.2140814285714273E-3</v>
      </c>
    </row>
    <row r="39" spans="1:19" x14ac:dyDescent="0.25">
      <c r="A39" s="1">
        <v>38</v>
      </c>
      <c r="B39" s="3">
        <v>2.3619999999999999E-2</v>
      </c>
      <c r="C39" s="3">
        <v>2.7900000000000001E-2</v>
      </c>
      <c r="D39" s="3">
        <v>1.1299999999999999E-2</v>
      </c>
      <c r="E39" s="3">
        <v>2.3879999999999998E-2</v>
      </c>
      <c r="F39" s="3">
        <v>3.1280000000000002E-2</v>
      </c>
      <c r="G39" s="3">
        <v>1.278E-2</v>
      </c>
      <c r="H39" s="15">
        <f>B39+MAX(Interpolation!$I40*B39,1%)</f>
        <v>3.3619999999999997E-2</v>
      </c>
      <c r="I39" s="15">
        <f>C39+MAX(Interpolation!$I40*C39,1%)</f>
        <v>3.7900000000000003E-2</v>
      </c>
      <c r="J39" s="15">
        <f>D39+MAX(Interpolation!$I40*D39,1%)</f>
        <v>2.1299999999999999E-2</v>
      </c>
      <c r="K39" s="15">
        <f>E39+MAX(Interpolation!$I40*E39,1%)</f>
        <v>3.388E-2</v>
      </c>
      <c r="L39" s="15">
        <f>F39+MAX(Interpolation!$I40*F39,1%)</f>
        <v>4.1280000000000004E-2</v>
      </c>
      <c r="M39" s="15">
        <f>G39+MAX(Interpolation!$I40*G39,1%)</f>
        <v>2.2780000000000002E-2</v>
      </c>
      <c r="N39" s="15">
        <f>B39-MAX(Interpolation!$J40*B39,0%)</f>
        <v>1.7316834285714282E-2</v>
      </c>
      <c r="O39" s="15">
        <f>C39-MAX(Interpolation!$J40*C39,0%)</f>
        <v>2.0454685714285714E-2</v>
      </c>
      <c r="P39" s="15">
        <f>D39-MAX(Interpolation!$J40*D39,0%)</f>
        <v>8.2845142857142836E-3</v>
      </c>
      <c r="Q39" s="15">
        <f>E39-MAX(Interpolation!$J40*E39,0%)</f>
        <v>1.7507451428571425E-2</v>
      </c>
      <c r="R39" s="15">
        <f>F39-MAX(Interpolation!$J40*F39,0%)</f>
        <v>2.2932708571428571E-2</v>
      </c>
      <c r="S39" s="15">
        <f>G39-MAX(Interpolation!$J40*G39,0%)</f>
        <v>9.3695657142857137E-3</v>
      </c>
    </row>
    <row r="40" spans="1:19" x14ac:dyDescent="0.25">
      <c r="A40" s="1">
        <v>39</v>
      </c>
      <c r="B40" s="3">
        <v>2.4039999999999999E-2</v>
      </c>
      <c r="C40" s="3">
        <v>2.819E-2</v>
      </c>
      <c r="D40" s="3">
        <v>1.1509999999999999E-2</v>
      </c>
      <c r="E40" s="3">
        <v>2.4299999999999999E-2</v>
      </c>
      <c r="F40" s="3">
        <v>3.1489999999999997E-2</v>
      </c>
      <c r="G40" s="3">
        <v>1.2959999999999999E-2</v>
      </c>
      <c r="H40" s="15">
        <f>B40+MAX(Interpolation!$I41*B40,1%)</f>
        <v>3.4040000000000001E-2</v>
      </c>
      <c r="I40" s="15">
        <f>C40+MAX(Interpolation!$I41*C40,1%)</f>
        <v>3.8190000000000002E-2</v>
      </c>
      <c r="J40" s="15">
        <f>D40+MAX(Interpolation!$I41*D40,1%)</f>
        <v>2.1510000000000001E-2</v>
      </c>
      <c r="K40" s="15">
        <f>E40+MAX(Interpolation!$I41*E40,1%)</f>
        <v>3.4299999999999997E-2</v>
      </c>
      <c r="L40" s="15">
        <f>F40+MAX(Interpolation!$I41*F40,1%)</f>
        <v>4.1489999999999999E-2</v>
      </c>
      <c r="M40" s="15">
        <f>G40+MAX(Interpolation!$I41*G40,1%)</f>
        <v>2.2960000000000001E-2</v>
      </c>
      <c r="N40" s="15">
        <f>B40-MAX(Interpolation!$J41*B40,0%)</f>
        <v>1.7655662857142852E-2</v>
      </c>
      <c r="O40" s="15">
        <f>C40-MAX(Interpolation!$J41*C40,0%)</f>
        <v>2.0703541428571427E-2</v>
      </c>
      <c r="P40" s="15">
        <f>D40-MAX(Interpolation!$J41*D40,0%)</f>
        <v>8.4532728571428545E-3</v>
      </c>
      <c r="Q40" s="15">
        <f>E40-MAX(Interpolation!$J41*E40,0%)</f>
        <v>1.7846614285714282E-2</v>
      </c>
      <c r="R40" s="15">
        <f>F40-MAX(Interpolation!$J41*F40,0%)</f>
        <v>2.312715571428571E-2</v>
      </c>
      <c r="S40" s="15">
        <f>G40-MAX(Interpolation!$J41*G40,0%)</f>
        <v>9.5181942857142827E-3</v>
      </c>
    </row>
    <row r="41" spans="1:19" x14ac:dyDescent="0.25">
      <c r="A41" s="2">
        <v>40</v>
      </c>
      <c r="B41" s="4">
        <v>2.445E-2</v>
      </c>
      <c r="C41" s="4">
        <v>2.8469999999999999E-2</v>
      </c>
      <c r="D41" s="4">
        <v>1.171E-2</v>
      </c>
      <c r="E41" s="4">
        <v>2.4709999999999999E-2</v>
      </c>
      <c r="F41" s="4">
        <v>3.1690000000000003E-2</v>
      </c>
      <c r="G41" s="4">
        <v>1.3129999999999999E-2</v>
      </c>
      <c r="H41" s="15">
        <f>B41+MAX(Interpolation!$I42*B41,1%)</f>
        <v>3.4450000000000001E-2</v>
      </c>
      <c r="I41" s="15">
        <f>C41+MAX(Interpolation!$I42*C41,1%)</f>
        <v>3.8469999999999997E-2</v>
      </c>
      <c r="J41" s="15">
        <f>D41+MAX(Interpolation!$I42*D41,1%)</f>
        <v>2.171E-2</v>
      </c>
      <c r="K41" s="15">
        <f>E41+MAX(Interpolation!$I42*E41,1%)</f>
        <v>3.4709999999999998E-2</v>
      </c>
      <c r="L41" s="15">
        <f>F41+MAX(Interpolation!$I42*F41,1%)</f>
        <v>4.1690000000000005E-2</v>
      </c>
      <c r="M41" s="15">
        <f>G41+MAX(Interpolation!$I42*G41,1%)</f>
        <v>2.3129999999999998E-2</v>
      </c>
      <c r="N41" s="15">
        <f>B41-MAX(Interpolation!$J42*B41,0%)</f>
        <v>1.7988214285714281E-2</v>
      </c>
      <c r="O41" s="15">
        <f>C41-MAX(Interpolation!$J42*C41,0%)</f>
        <v>2.0945785714285708E-2</v>
      </c>
      <c r="P41" s="15">
        <f>D41-MAX(Interpolation!$J42*D41,0%)</f>
        <v>8.6152142857142851E-3</v>
      </c>
      <c r="Q41" s="15">
        <f>E41-MAX(Interpolation!$J42*E41,0%)</f>
        <v>1.8179499999999998E-2</v>
      </c>
      <c r="R41" s="15">
        <f>F41-MAX(Interpolation!$J42*F41,0%)</f>
        <v>2.3314785714285712E-2</v>
      </c>
      <c r="S41" s="15">
        <f>G41-MAX(Interpolation!$J42*G41,0%)</f>
        <v>9.6599285714285693E-3</v>
      </c>
    </row>
    <row r="42" spans="1:19" x14ac:dyDescent="0.25">
      <c r="A42" s="1">
        <v>41</v>
      </c>
      <c r="B42" s="3">
        <v>2.4850000000000001E-2</v>
      </c>
      <c r="C42" s="3">
        <v>2.8740000000000002E-2</v>
      </c>
      <c r="D42" s="3">
        <v>1.1900000000000001E-2</v>
      </c>
      <c r="E42" s="3">
        <v>2.5100000000000001E-2</v>
      </c>
      <c r="F42" s="3">
        <v>3.1890000000000002E-2</v>
      </c>
      <c r="G42" s="3">
        <v>1.329E-2</v>
      </c>
      <c r="H42" s="15">
        <f>B42+MAX(Interpolation!$I43*B42,1%)</f>
        <v>3.4849999999999999E-2</v>
      </c>
      <c r="I42" s="15">
        <f>C42+MAX(Interpolation!$I43*C42,1%)</f>
        <v>3.8740000000000004E-2</v>
      </c>
      <c r="J42" s="15">
        <f>D42+MAX(Interpolation!$I43*D42,1%)</f>
        <v>2.1900000000000003E-2</v>
      </c>
      <c r="K42" s="15">
        <f>E42+MAX(Interpolation!$I43*E42,1%)</f>
        <v>3.5099999999999999E-2</v>
      </c>
      <c r="L42" s="15">
        <f>F42+MAX(Interpolation!$I43*F42,1%)</f>
        <v>4.1890000000000004E-2</v>
      </c>
      <c r="M42" s="15">
        <f>G42+MAX(Interpolation!$I43*G42,1%)</f>
        <v>2.3289999999999998E-2</v>
      </c>
      <c r="N42" s="15">
        <f>B42-MAX(Interpolation!$J43*B42,0%)</f>
        <v>1.8314449999999996E-2</v>
      </c>
      <c r="O42" s="15">
        <f>C42-MAX(Interpolation!$J43*C42,0%)</f>
        <v>2.118138E-2</v>
      </c>
      <c r="P42" s="15">
        <f>D42-MAX(Interpolation!$J43*D42,0%)</f>
        <v>8.7702999999999982E-3</v>
      </c>
      <c r="Q42" s="15">
        <f>E42-MAX(Interpolation!$J43*E42,0%)</f>
        <v>1.8498699999999996E-2</v>
      </c>
      <c r="R42" s="15">
        <f>F42-MAX(Interpolation!$J43*F42,0%)</f>
        <v>2.3502929999999998E-2</v>
      </c>
      <c r="S42" s="15">
        <f>G42-MAX(Interpolation!$J43*G42,0%)</f>
        <v>9.794729999999998E-3</v>
      </c>
    </row>
    <row r="43" spans="1:19" x14ac:dyDescent="0.25">
      <c r="A43" s="1">
        <v>42</v>
      </c>
      <c r="B43" s="3">
        <v>2.5229999999999999E-2</v>
      </c>
      <c r="C43" s="3">
        <v>2.8989999999999998E-2</v>
      </c>
      <c r="D43" s="3">
        <v>1.209E-2</v>
      </c>
      <c r="E43" s="3">
        <v>2.547E-2</v>
      </c>
      <c r="F43" s="3">
        <v>3.2079999999999997E-2</v>
      </c>
      <c r="G43" s="3">
        <v>1.345E-2</v>
      </c>
      <c r="H43" s="15">
        <f>B43+MAX(Interpolation!$I44*B43,1%)</f>
        <v>3.5229999999999997E-2</v>
      </c>
      <c r="I43" s="15">
        <f>C43+MAX(Interpolation!$I44*C43,1%)</f>
        <v>3.8989999999999997E-2</v>
      </c>
      <c r="J43" s="15">
        <f>D43+MAX(Interpolation!$I44*D43,1%)</f>
        <v>2.2089999999999999E-2</v>
      </c>
      <c r="K43" s="15">
        <f>E43+MAX(Interpolation!$I44*E43,1%)</f>
        <v>3.5470000000000002E-2</v>
      </c>
      <c r="L43" s="15">
        <f>F43+MAX(Interpolation!$I44*F43,1%)</f>
        <v>4.2079999999999999E-2</v>
      </c>
      <c r="M43" s="15">
        <f>G43+MAX(Interpolation!$I44*G43,1%)</f>
        <v>2.3449999999999999E-2</v>
      </c>
      <c r="N43" s="15">
        <f>B43-MAX(Interpolation!$J44*B43,0%)</f>
        <v>1.8626948571428568E-2</v>
      </c>
      <c r="O43" s="15">
        <f>C43-MAX(Interpolation!$J44*C43,0%)</f>
        <v>2.1402902857142851E-2</v>
      </c>
      <c r="P43" s="15">
        <f>D43-MAX(Interpolation!$J44*D43,0%)</f>
        <v>8.9258742857142841E-3</v>
      </c>
      <c r="Q43" s="15">
        <f>E43-MAX(Interpolation!$J44*E43,0%)</f>
        <v>1.8804137142857141E-2</v>
      </c>
      <c r="R43" s="15">
        <f>F43-MAX(Interpolation!$J44*F43,0%)</f>
        <v>2.3684205714285707E-2</v>
      </c>
      <c r="S43" s="15">
        <f>G43-MAX(Interpolation!$J44*G43,0%)</f>
        <v>9.9299428571428556E-3</v>
      </c>
    </row>
    <row r="44" spans="1:19" x14ac:dyDescent="0.25">
      <c r="A44" s="1">
        <v>43</v>
      </c>
      <c r="B44" s="3">
        <v>2.5590000000000002E-2</v>
      </c>
      <c r="C44" s="3">
        <v>2.9239999999999999E-2</v>
      </c>
      <c r="D44" s="3">
        <v>1.227E-2</v>
      </c>
      <c r="E44" s="3">
        <v>2.5829999999999999E-2</v>
      </c>
      <c r="F44" s="3">
        <v>3.2259999999999997E-2</v>
      </c>
      <c r="G44" s="3">
        <v>1.3599999999999999E-2</v>
      </c>
      <c r="H44" s="15">
        <f>B44+MAX(Interpolation!$I45*B44,1%)</f>
        <v>3.5590000000000004E-2</v>
      </c>
      <c r="I44" s="15">
        <f>C44+MAX(Interpolation!$I45*C44,1%)</f>
        <v>3.9239999999999997E-2</v>
      </c>
      <c r="J44" s="15">
        <f>D44+MAX(Interpolation!$I45*D44,1%)</f>
        <v>2.2269999999999998E-2</v>
      </c>
      <c r="K44" s="15">
        <f>E44+MAX(Interpolation!$I45*E44,1%)</f>
        <v>3.5830000000000001E-2</v>
      </c>
      <c r="L44" s="15">
        <f>F44+MAX(Interpolation!$I45*F44,1%)</f>
        <v>4.2259999999999999E-2</v>
      </c>
      <c r="M44" s="15">
        <f>G44+MAX(Interpolation!$I45*G44,1%)</f>
        <v>2.3599999999999999E-2</v>
      </c>
      <c r="N44" s="15">
        <f>B44-MAX(Interpolation!$J45*B44,0%)</f>
        <v>1.8925632857142854E-2</v>
      </c>
      <c r="O44" s="15">
        <f>C44-MAX(Interpolation!$J45*C44,0%)</f>
        <v>2.1625068571428568E-2</v>
      </c>
      <c r="P44" s="15">
        <f>D44-MAX(Interpolation!$J45*D44,0%)</f>
        <v>9.0745414285714268E-3</v>
      </c>
      <c r="Q44" s="15">
        <f>E44-MAX(Interpolation!$J45*E44,0%)</f>
        <v>1.9103129999999996E-2</v>
      </c>
      <c r="R44" s="15">
        <f>F44-MAX(Interpolation!$J45*F44,0%)</f>
        <v>2.3858574285714279E-2</v>
      </c>
      <c r="S44" s="15">
        <f>G44-MAX(Interpolation!$J45*G44,0%)</f>
        <v>1.0058171428571426E-2</v>
      </c>
    </row>
    <row r="45" spans="1:19" x14ac:dyDescent="0.25">
      <c r="A45" s="1">
        <v>44</v>
      </c>
      <c r="B45" s="3">
        <v>2.5940000000000001E-2</v>
      </c>
      <c r="C45" s="3">
        <v>2.9479999999999999E-2</v>
      </c>
      <c r="D45" s="3">
        <v>1.244E-2</v>
      </c>
      <c r="E45" s="3">
        <v>2.6169999999999999E-2</v>
      </c>
      <c r="F45" s="3">
        <v>3.243E-2</v>
      </c>
      <c r="G45" s="3">
        <v>1.374E-2</v>
      </c>
      <c r="H45" s="15">
        <f>B45+MAX(Interpolation!$I46*B45,1%)</f>
        <v>3.594E-2</v>
      </c>
      <c r="I45" s="15">
        <f>C45+MAX(Interpolation!$I46*C45,1%)</f>
        <v>3.9480000000000001E-2</v>
      </c>
      <c r="J45" s="15">
        <f>D45+MAX(Interpolation!$I46*D45,1%)</f>
        <v>2.2440000000000002E-2</v>
      </c>
      <c r="K45" s="15">
        <f>E45+MAX(Interpolation!$I46*E45,1%)</f>
        <v>3.6170000000000001E-2</v>
      </c>
      <c r="L45" s="15">
        <f>F45+MAX(Interpolation!$I46*F45,1%)</f>
        <v>4.2430000000000002E-2</v>
      </c>
      <c r="M45" s="15">
        <f>G45+MAX(Interpolation!$I46*G45,1%)</f>
        <v>2.3740000000000001E-2</v>
      </c>
      <c r="N45" s="15">
        <f>B45-MAX(Interpolation!$J46*B45,0%)</f>
        <v>1.9217834285714282E-2</v>
      </c>
      <c r="O45" s="15">
        <f>C45-MAX(Interpolation!$J46*C45,0%)</f>
        <v>2.1840468571428566E-2</v>
      </c>
      <c r="P45" s="15">
        <f>D45-MAX(Interpolation!$J46*D45,0%)</f>
        <v>9.2162628571428561E-3</v>
      </c>
      <c r="Q45" s="15">
        <f>E45-MAX(Interpolation!$J46*E45,0%)</f>
        <v>1.9388231428571424E-2</v>
      </c>
      <c r="R45" s="15">
        <f>F45-MAX(Interpolation!$J46*F45,0%)</f>
        <v>2.4025997142857136E-2</v>
      </c>
      <c r="S45" s="15">
        <f>G45-MAX(Interpolation!$J46*G45,0%)</f>
        <v>1.0179377142857141E-2</v>
      </c>
    </row>
    <row r="46" spans="1:19" x14ac:dyDescent="0.25">
      <c r="A46" s="2">
        <v>45</v>
      </c>
      <c r="B46" s="4">
        <v>2.6280000000000001E-2</v>
      </c>
      <c r="C46" s="4">
        <v>2.971E-2</v>
      </c>
      <c r="D46" s="4">
        <v>1.261E-2</v>
      </c>
      <c r="E46" s="4">
        <v>2.6509999999999999E-2</v>
      </c>
      <c r="F46" s="4">
        <v>3.2599999999999997E-2</v>
      </c>
      <c r="G46" s="4">
        <v>1.388E-2</v>
      </c>
      <c r="H46" s="15">
        <f>B46+MAX(Interpolation!$I47*B46,1%)</f>
        <v>3.628E-2</v>
      </c>
      <c r="I46" s="15">
        <f>C46+MAX(Interpolation!$I47*C46,1%)</f>
        <v>3.9710000000000002E-2</v>
      </c>
      <c r="J46" s="15">
        <f>D46+MAX(Interpolation!$I47*D46,1%)</f>
        <v>2.2609999999999998E-2</v>
      </c>
      <c r="K46" s="15">
        <f>E46+MAX(Interpolation!$I47*E46,1%)</f>
        <v>3.6510000000000001E-2</v>
      </c>
      <c r="L46" s="15">
        <f>F46+MAX(Interpolation!$I47*F46,1%)</f>
        <v>4.2599999999999999E-2</v>
      </c>
      <c r="M46" s="15">
        <f>G46+MAX(Interpolation!$I47*G46,1%)</f>
        <v>2.3879999999999998E-2</v>
      </c>
      <c r="N46" s="15">
        <f>B46-MAX(Interpolation!$J47*B46,0%)</f>
        <v>1.9503514285714282E-2</v>
      </c>
      <c r="O46" s="15">
        <f>C46-MAX(Interpolation!$J47*C46,0%)</f>
        <v>2.2049064285714282E-2</v>
      </c>
      <c r="P46" s="15">
        <f>D46-MAX(Interpolation!$J47*D46,0%)</f>
        <v>9.3584214285714271E-3</v>
      </c>
      <c r="Q46" s="15">
        <f>E46-MAX(Interpolation!$J47*E46,0%)</f>
        <v>1.9674207142857138E-2</v>
      </c>
      <c r="R46" s="15">
        <f>F46-MAX(Interpolation!$J47*F46,0%)</f>
        <v>2.4193857142857135E-2</v>
      </c>
      <c r="S46" s="15">
        <f>G46-MAX(Interpolation!$J47*G46,0%)</f>
        <v>1.0300942857142855E-2</v>
      </c>
    </row>
    <row r="47" spans="1:19" x14ac:dyDescent="0.25">
      <c r="A47" s="1">
        <v>46</v>
      </c>
      <c r="B47" s="3">
        <v>2.6599999999999999E-2</v>
      </c>
      <c r="C47" s="3">
        <v>2.9929999999999998E-2</v>
      </c>
      <c r="D47" s="3">
        <v>1.2760000000000001E-2</v>
      </c>
      <c r="E47" s="3">
        <v>2.683E-2</v>
      </c>
      <c r="F47" s="3">
        <v>3.2759999999999997E-2</v>
      </c>
      <c r="G47" s="3">
        <v>1.401E-2</v>
      </c>
      <c r="H47" s="15">
        <f>B47+MAX(Interpolation!$I48*B47,1%)</f>
        <v>3.6600000000000001E-2</v>
      </c>
      <c r="I47" s="15">
        <f>C47+MAX(Interpolation!$I48*C47,1%)</f>
        <v>3.993E-2</v>
      </c>
      <c r="J47" s="15">
        <f>D47+MAX(Interpolation!$I48*D47,1%)</f>
        <v>2.2760000000000002E-2</v>
      </c>
      <c r="K47" s="15">
        <f>E47+MAX(Interpolation!$I48*E47,1%)</f>
        <v>3.6830000000000002E-2</v>
      </c>
      <c r="L47" s="15">
        <f>F47+MAX(Interpolation!$I48*F47,1%)</f>
        <v>4.2759999999999999E-2</v>
      </c>
      <c r="M47" s="15">
        <f>G47+MAX(Interpolation!$I48*G47,1%)</f>
        <v>2.401E-2</v>
      </c>
      <c r="N47" s="15">
        <f>B47-MAX(Interpolation!$J48*B47,0%)</f>
        <v>1.9775199999999993E-2</v>
      </c>
      <c r="O47" s="15">
        <f>C47-MAX(Interpolation!$J48*C47,0%)</f>
        <v>2.2250817142857135E-2</v>
      </c>
      <c r="P47" s="15">
        <f>D47-MAX(Interpolation!$J48*D47,0%)</f>
        <v>9.4861485714285692E-3</v>
      </c>
      <c r="Q47" s="15">
        <f>E47-MAX(Interpolation!$J48*E47,0%)</f>
        <v>1.9946188571428568E-2</v>
      </c>
      <c r="R47" s="15">
        <f>F47-MAX(Interpolation!$J48*F47,0%)</f>
        <v>2.4354719999999993E-2</v>
      </c>
      <c r="S47" s="15">
        <f>G47-MAX(Interpolation!$J48*G47,0%)</f>
        <v>1.0415434285714283E-2</v>
      </c>
    </row>
    <row r="48" spans="1:19" x14ac:dyDescent="0.25">
      <c r="A48" s="1">
        <v>47</v>
      </c>
      <c r="B48" s="3">
        <v>2.6919999999999999E-2</v>
      </c>
      <c r="C48" s="3">
        <v>3.015E-2</v>
      </c>
      <c r="D48" s="3">
        <v>1.2919999999999999E-2</v>
      </c>
      <c r="E48" s="3">
        <v>2.7140000000000001E-2</v>
      </c>
      <c r="F48" s="3">
        <v>3.2910000000000002E-2</v>
      </c>
      <c r="G48" s="3">
        <v>1.414E-2</v>
      </c>
      <c r="H48" s="15">
        <f>B48+MAX(Interpolation!$I49*B48,1%)</f>
        <v>3.6920000000000001E-2</v>
      </c>
      <c r="I48" s="15">
        <f>C48+MAX(Interpolation!$I49*C48,1%)</f>
        <v>4.0149999999999998E-2</v>
      </c>
      <c r="J48" s="15">
        <f>D48+MAX(Interpolation!$I49*D48,1%)</f>
        <v>2.2919999999999999E-2</v>
      </c>
      <c r="K48" s="15">
        <f>E48+MAX(Interpolation!$I49*E48,1%)</f>
        <v>3.7139999999999999E-2</v>
      </c>
      <c r="L48" s="15">
        <f>F48+MAX(Interpolation!$I49*F48,1%)</f>
        <v>4.2910000000000004E-2</v>
      </c>
      <c r="M48" s="15">
        <f>G48+MAX(Interpolation!$I49*G48,1%)</f>
        <v>2.4140000000000002E-2</v>
      </c>
      <c r="N48" s="15">
        <f>B48-MAX(Interpolation!$J49*B48,0%)</f>
        <v>2.0047708571428569E-2</v>
      </c>
      <c r="O48" s="15">
        <f>C48-MAX(Interpolation!$J49*C48,0%)</f>
        <v>2.245313571428571E-2</v>
      </c>
      <c r="P48" s="15">
        <f>D48-MAX(Interpolation!$J49*D48,0%)</f>
        <v>9.621708571428569E-3</v>
      </c>
      <c r="Q48" s="15">
        <f>E48-MAX(Interpolation!$J49*E48,0%)</f>
        <v>2.0211545714285711E-2</v>
      </c>
      <c r="R48" s="15">
        <f>F48-MAX(Interpolation!$J49*F48,0%)</f>
        <v>2.4508547142857141E-2</v>
      </c>
      <c r="S48" s="15">
        <f>G48-MAX(Interpolation!$J49*G48,0%)</f>
        <v>1.0530259999999998E-2</v>
      </c>
    </row>
    <row r="49" spans="1:19" x14ac:dyDescent="0.25">
      <c r="A49" s="1">
        <v>48</v>
      </c>
      <c r="B49" s="3">
        <v>2.7220000000000001E-2</v>
      </c>
      <c r="C49" s="3">
        <v>3.0349999999999999E-2</v>
      </c>
      <c r="D49" s="3">
        <v>1.307E-2</v>
      </c>
      <c r="E49" s="3">
        <v>2.743E-2</v>
      </c>
      <c r="F49" s="3">
        <v>3.3059999999999999E-2</v>
      </c>
      <c r="G49" s="3">
        <v>1.426E-2</v>
      </c>
      <c r="H49" s="15">
        <f>B49+MAX(Interpolation!$I50*B49,1%)</f>
        <v>3.7220000000000003E-2</v>
      </c>
      <c r="I49" s="15">
        <f>C49+MAX(Interpolation!$I50*C49,1%)</f>
        <v>4.0349999999999997E-2</v>
      </c>
      <c r="J49" s="15">
        <f>D49+MAX(Interpolation!$I50*D49,1%)</f>
        <v>2.307E-2</v>
      </c>
      <c r="K49" s="15">
        <f>E49+MAX(Interpolation!$I50*E49,1%)</f>
        <v>3.7429999999999998E-2</v>
      </c>
      <c r="L49" s="15">
        <f>F49+MAX(Interpolation!$I50*F49,1%)</f>
        <v>4.3060000000000001E-2</v>
      </c>
      <c r="M49" s="15">
        <f>G49+MAX(Interpolation!$I50*G49,1%)</f>
        <v>2.426E-2</v>
      </c>
      <c r="N49" s="15">
        <f>B49-MAX(Interpolation!$J50*B49,0%)</f>
        <v>2.0306119999999997E-2</v>
      </c>
      <c r="O49" s="15">
        <f>C49-MAX(Interpolation!$J50*C49,0%)</f>
        <v>2.2641099999999994E-2</v>
      </c>
      <c r="P49" s="15">
        <f>D49-MAX(Interpolation!$J50*D49,0%)</f>
        <v>9.7502199999999969E-3</v>
      </c>
      <c r="Q49" s="15">
        <f>E49-MAX(Interpolation!$J50*E49,0%)</f>
        <v>2.0462779999999993E-2</v>
      </c>
      <c r="R49" s="15">
        <f>F49-MAX(Interpolation!$J50*F49,0%)</f>
        <v>2.4662759999999992E-2</v>
      </c>
      <c r="S49" s="15">
        <f>G49-MAX(Interpolation!$J50*G49,0%)</f>
        <v>1.0637959999999998E-2</v>
      </c>
    </row>
    <row r="50" spans="1:19" x14ac:dyDescent="0.25">
      <c r="A50" s="1">
        <v>49</v>
      </c>
      <c r="B50" s="3">
        <v>2.751E-2</v>
      </c>
      <c r="C50" s="3">
        <v>3.0550000000000001E-2</v>
      </c>
      <c r="D50" s="3">
        <v>1.321E-2</v>
      </c>
      <c r="E50" s="3">
        <v>2.7720000000000002E-2</v>
      </c>
      <c r="F50" s="3">
        <v>3.3210000000000003E-2</v>
      </c>
      <c r="G50" s="3">
        <v>1.438E-2</v>
      </c>
      <c r="H50" s="15">
        <f>B50+MAX(Interpolation!$I51*B50,1%)</f>
        <v>3.7510000000000002E-2</v>
      </c>
      <c r="I50" s="15">
        <f>C50+MAX(Interpolation!$I51*C50,1%)</f>
        <v>4.0550000000000003E-2</v>
      </c>
      <c r="J50" s="15">
        <f>D50+MAX(Interpolation!$I51*D50,1%)</f>
        <v>2.3210000000000001E-2</v>
      </c>
      <c r="K50" s="15">
        <f>E50+MAX(Interpolation!$I51*E50,1%)</f>
        <v>3.7720000000000004E-2</v>
      </c>
      <c r="L50" s="15">
        <f>F50+MAX(Interpolation!$I51*F50,1%)</f>
        <v>4.3210000000000005E-2</v>
      </c>
      <c r="M50" s="15">
        <f>G50+MAX(Interpolation!$I51*G50,1%)</f>
        <v>2.4379999999999999E-2</v>
      </c>
      <c r="N50" s="15">
        <f>B50-MAX(Interpolation!$J51*B50,0%)</f>
        <v>2.0557829999999996E-2</v>
      </c>
      <c r="O50" s="15">
        <f>C50-MAX(Interpolation!$J51*C50,0%)</f>
        <v>2.2829578571428567E-2</v>
      </c>
      <c r="P50" s="15">
        <f>D50-MAX(Interpolation!$J51*D50,0%)</f>
        <v>9.8716442857142827E-3</v>
      </c>
      <c r="Q50" s="15">
        <f>E50-MAX(Interpolation!$J51*E50,0%)</f>
        <v>2.0714759999999995E-2</v>
      </c>
      <c r="R50" s="15">
        <f>F50-MAX(Interpolation!$J51*F50,0%)</f>
        <v>2.4817358571428569E-2</v>
      </c>
      <c r="S50" s="15">
        <f>G50-MAX(Interpolation!$J51*G50,0%)</f>
        <v>1.0745968571428569E-2</v>
      </c>
    </row>
    <row r="51" spans="1:19" x14ac:dyDescent="0.25">
      <c r="A51" s="2">
        <v>50</v>
      </c>
      <c r="B51" s="4">
        <v>2.7789999999999999E-2</v>
      </c>
      <c r="C51" s="4">
        <v>3.074E-2</v>
      </c>
      <c r="D51" s="4">
        <v>1.3350000000000001E-2</v>
      </c>
      <c r="E51" s="4">
        <v>2.7990000000000001E-2</v>
      </c>
      <c r="F51" s="4">
        <v>3.3349999999999998E-2</v>
      </c>
      <c r="G51" s="4">
        <v>1.4500000000000001E-2</v>
      </c>
      <c r="H51" s="15">
        <f>B51+MAX(Interpolation!$I52*B51,1%)</f>
        <v>3.7789999999999997E-2</v>
      </c>
      <c r="I51" s="15">
        <f>C51+MAX(Interpolation!$I52*C51,1%)</f>
        <v>4.0739999999999998E-2</v>
      </c>
      <c r="J51" s="15">
        <f>D51+MAX(Interpolation!$I52*D51,1%)</f>
        <v>2.3350000000000003E-2</v>
      </c>
      <c r="K51" s="15">
        <f>E51+MAX(Interpolation!$I52*E51,1%)</f>
        <v>3.7990000000000003E-2</v>
      </c>
      <c r="L51" s="15">
        <f>F51+MAX(Interpolation!$I52*F51,1%)</f>
        <v>4.335E-2</v>
      </c>
      <c r="M51" s="15">
        <f>G51+MAX(Interpolation!$I52*G51,1%)</f>
        <v>2.4500000000000001E-2</v>
      </c>
      <c r="N51" s="15">
        <f>B51-MAX(Interpolation!$J52*B51,0%)</f>
        <v>2.0802799999999993E-2</v>
      </c>
      <c r="O51" s="15">
        <f>C51-MAX(Interpolation!$J52*C51,0%)</f>
        <v>2.3011085714285708E-2</v>
      </c>
      <c r="P51" s="15">
        <f>D51-MAX(Interpolation!$J52*D51,0%)</f>
        <v>9.9934285714285698E-3</v>
      </c>
      <c r="Q51" s="15">
        <f>E51-MAX(Interpolation!$J52*E51,0%)</f>
        <v>2.0952514285714281E-2</v>
      </c>
      <c r="R51" s="15">
        <f>F51-MAX(Interpolation!$J52*F51,0%)</f>
        <v>2.4964857142857136E-2</v>
      </c>
      <c r="S51" s="15">
        <f>G51-MAX(Interpolation!$J52*G51,0%)</f>
        <v>1.0854285714285712E-2</v>
      </c>
    </row>
    <row r="52" spans="1:19" x14ac:dyDescent="0.25">
      <c r="A52" s="1">
        <v>51</v>
      </c>
      <c r="B52" s="3">
        <v>2.8060000000000002E-2</v>
      </c>
      <c r="C52" s="3">
        <v>3.0929999999999999E-2</v>
      </c>
      <c r="D52" s="3">
        <v>1.3480000000000001E-2</v>
      </c>
      <c r="E52" s="3">
        <v>2.826E-2</v>
      </c>
      <c r="F52" s="3">
        <v>3.3480000000000003E-2</v>
      </c>
      <c r="G52" s="3">
        <v>1.461E-2</v>
      </c>
      <c r="H52" s="15">
        <f>B52+MAX(Interpolation!$I53*B52,1%)</f>
        <v>3.8060000000000004E-2</v>
      </c>
      <c r="I52" s="15">
        <f>C52+MAX(Interpolation!$I53*C52,1%)</f>
        <v>4.0930000000000001E-2</v>
      </c>
      <c r="J52" s="15">
        <f>D52+MAX(Interpolation!$I53*D52,1%)</f>
        <v>2.3480000000000001E-2</v>
      </c>
      <c r="K52" s="15">
        <f>E52+MAX(Interpolation!$I53*E52,1%)</f>
        <v>3.8260000000000002E-2</v>
      </c>
      <c r="L52" s="15">
        <f>F52+MAX(Interpolation!$I53*F52,1%)</f>
        <v>4.3480000000000005E-2</v>
      </c>
      <c r="M52" s="15">
        <f>G52+MAX(Interpolation!$I53*G52,1%)</f>
        <v>2.461E-2</v>
      </c>
      <c r="N52" s="15">
        <f>B52-MAX(Interpolation!$J53*B52,0%)</f>
        <v>2.1040991428571423E-2</v>
      </c>
      <c r="O52" s="15">
        <f>C52-MAX(Interpolation!$J53*C52,0%)</f>
        <v>2.3193081428571422E-2</v>
      </c>
      <c r="P52" s="15">
        <f>D52-MAX(Interpolation!$J53*D52,0%)</f>
        <v>1.0108074285714284E-2</v>
      </c>
      <c r="Q52" s="15">
        <f>E52-MAX(Interpolation!$J53*E52,0%)</f>
        <v>2.119096285714285E-2</v>
      </c>
      <c r="R52" s="15">
        <f>F52-MAX(Interpolation!$J53*F52,0%)</f>
        <v>2.5105217142857138E-2</v>
      </c>
      <c r="S52" s="15">
        <f>G52-MAX(Interpolation!$J53*G52,0%)</f>
        <v>1.0955412857142854E-2</v>
      </c>
    </row>
    <row r="53" spans="1:19" x14ac:dyDescent="0.25">
      <c r="A53" s="1">
        <v>52</v>
      </c>
      <c r="B53" s="3">
        <v>2.8320000000000001E-2</v>
      </c>
      <c r="C53" s="3">
        <v>3.1099999999999999E-2</v>
      </c>
      <c r="D53" s="3">
        <v>1.3610000000000001E-2</v>
      </c>
      <c r="E53" s="3">
        <v>2.852E-2</v>
      </c>
      <c r="F53" s="3">
        <v>3.3610000000000001E-2</v>
      </c>
      <c r="G53" s="3">
        <v>1.472E-2</v>
      </c>
      <c r="H53" s="15">
        <f>B53+MAX(Interpolation!$I54*B53,1%)</f>
        <v>3.832E-2</v>
      </c>
      <c r="I53" s="15">
        <f>C53+MAX(Interpolation!$I54*C53,1%)</f>
        <v>4.1099999999999998E-2</v>
      </c>
      <c r="J53" s="15">
        <f>D53+MAX(Interpolation!$I54*D53,1%)</f>
        <v>2.3609999999999999E-2</v>
      </c>
      <c r="K53" s="15">
        <f>E53+MAX(Interpolation!$I54*E53,1%)</f>
        <v>3.8519999999999999E-2</v>
      </c>
      <c r="L53" s="15">
        <f>F53+MAX(Interpolation!$I54*F53,1%)</f>
        <v>4.3610000000000003E-2</v>
      </c>
      <c r="M53" s="15">
        <f>G53+MAX(Interpolation!$I54*G53,1%)</f>
        <v>2.4719999999999999E-2</v>
      </c>
      <c r="N53" s="15">
        <f>B53-MAX(Interpolation!$J54*B53,0%)</f>
        <v>2.1272365714285708E-2</v>
      </c>
      <c r="O53" s="15">
        <f>C53-MAX(Interpolation!$J54*C53,0%)</f>
        <v>2.3360542857142851E-2</v>
      </c>
      <c r="P53" s="15">
        <f>D53-MAX(Interpolation!$J54*D53,0%)</f>
        <v>1.0223054285714284E-2</v>
      </c>
      <c r="Q53" s="15">
        <f>E53-MAX(Interpolation!$J54*E53,0%)</f>
        <v>2.1422594285714282E-2</v>
      </c>
      <c r="R53" s="15">
        <f>F53-MAX(Interpolation!$J54*F53,0%)</f>
        <v>2.5245911428571424E-2</v>
      </c>
      <c r="S53" s="15">
        <f>G53-MAX(Interpolation!$J54*G53,0%)</f>
        <v>1.1056822857142854E-2</v>
      </c>
    </row>
    <row r="54" spans="1:19" x14ac:dyDescent="0.25">
      <c r="A54" s="1">
        <v>53</v>
      </c>
      <c r="B54" s="3">
        <v>2.8570000000000002E-2</v>
      </c>
      <c r="C54" s="3">
        <v>3.1280000000000002E-2</v>
      </c>
      <c r="D54" s="3">
        <v>1.3729999999999999E-2</v>
      </c>
      <c r="E54" s="3">
        <v>2.877E-2</v>
      </c>
      <c r="F54" s="3">
        <v>3.3739999999999999E-2</v>
      </c>
      <c r="G54" s="3">
        <v>1.482E-2</v>
      </c>
      <c r="H54" s="15">
        <f>B54+MAX(Interpolation!$I55*B54,1%)</f>
        <v>3.857E-2</v>
      </c>
      <c r="I54" s="15">
        <f>C54+MAX(Interpolation!$I55*C54,1%)</f>
        <v>4.1280000000000004E-2</v>
      </c>
      <c r="J54" s="15">
        <f>D54+MAX(Interpolation!$I55*D54,1%)</f>
        <v>2.3730000000000001E-2</v>
      </c>
      <c r="K54" s="15">
        <f>E54+MAX(Interpolation!$I55*E54,1%)</f>
        <v>3.8769999999999999E-2</v>
      </c>
      <c r="L54" s="15">
        <f>F54+MAX(Interpolation!$I55*F54,1%)</f>
        <v>4.3740000000000001E-2</v>
      </c>
      <c r="M54" s="15">
        <f>G54+MAX(Interpolation!$I55*G54,1%)</f>
        <v>2.4820000000000002E-2</v>
      </c>
      <c r="N54" s="15">
        <f>B54-MAX(Interpolation!$J55*B54,0%)</f>
        <v>2.1496884285714279E-2</v>
      </c>
      <c r="O54" s="15">
        <f>C54-MAX(Interpolation!$J55*C54,0%)</f>
        <v>2.3535965714285709E-2</v>
      </c>
      <c r="P54" s="15">
        <f>D54-MAX(Interpolation!$J55*D54,0%)</f>
        <v>1.0330844285714283E-2</v>
      </c>
      <c r="Q54" s="15">
        <f>E54-MAX(Interpolation!$J55*E54,0%)</f>
        <v>2.1647369999999996E-2</v>
      </c>
      <c r="R54" s="15">
        <f>F54-MAX(Interpolation!$J55*F54,0%)</f>
        <v>2.5386939999999993E-2</v>
      </c>
      <c r="S54" s="15">
        <f>G54-MAX(Interpolation!$J55*G54,0%)</f>
        <v>1.1150991428571426E-2</v>
      </c>
    </row>
    <row r="55" spans="1:19" x14ac:dyDescent="0.25">
      <c r="A55" s="1">
        <v>54</v>
      </c>
      <c r="B55" s="3">
        <v>2.8809999999999999E-2</v>
      </c>
      <c r="C55" s="3">
        <v>3.1440000000000003E-2</v>
      </c>
      <c r="D55" s="3">
        <v>1.3849999999999999E-2</v>
      </c>
      <c r="E55" s="3">
        <v>2.9000000000000001E-2</v>
      </c>
      <c r="F55" s="3">
        <v>3.3860000000000001E-2</v>
      </c>
      <c r="G55" s="3">
        <v>1.4919999999999999E-2</v>
      </c>
      <c r="H55" s="15">
        <f>B55+MAX(Interpolation!$I56*B55,1%)</f>
        <v>3.8809999999999997E-2</v>
      </c>
      <c r="I55" s="15">
        <f>C55+MAX(Interpolation!$I56*C55,1%)</f>
        <v>4.1440000000000005E-2</v>
      </c>
      <c r="J55" s="15">
        <f>D55+MAX(Interpolation!$I56*D55,1%)</f>
        <v>2.385E-2</v>
      </c>
      <c r="K55" s="15">
        <f>E55+MAX(Interpolation!$I56*E55,1%)</f>
        <v>3.9E-2</v>
      </c>
      <c r="L55" s="15">
        <f>F55+MAX(Interpolation!$I56*F55,1%)</f>
        <v>4.3860000000000003E-2</v>
      </c>
      <c r="M55" s="15">
        <f>G55+MAX(Interpolation!$I56*G55,1%)</f>
        <v>2.4919999999999998E-2</v>
      </c>
      <c r="N55" s="15">
        <f>B55-MAX(Interpolation!$J56*B55,0%)</f>
        <v>2.1714508571428565E-2</v>
      </c>
      <c r="O55" s="15">
        <f>C55-MAX(Interpolation!$J56*C55,0%)</f>
        <v>2.3696777142857138E-2</v>
      </c>
      <c r="P55" s="15">
        <f>D55-MAX(Interpolation!$J56*D55,0%)</f>
        <v>1.0438942857142853E-2</v>
      </c>
      <c r="Q55" s="15">
        <f>E55-MAX(Interpolation!$J56*E55,0%)</f>
        <v>2.1857714285714279E-2</v>
      </c>
      <c r="R55" s="15">
        <f>F55-MAX(Interpolation!$J56*F55,0%)</f>
        <v>2.5520765714285708E-2</v>
      </c>
      <c r="S55" s="15">
        <f>G55-MAX(Interpolation!$J56*G55,0%)</f>
        <v>1.124541714285714E-2</v>
      </c>
    </row>
    <row r="56" spans="1:19" x14ac:dyDescent="0.25">
      <c r="A56" s="2">
        <v>55</v>
      </c>
      <c r="B56" s="4">
        <v>2.9049999999999999E-2</v>
      </c>
      <c r="C56" s="4">
        <v>3.1600000000000003E-2</v>
      </c>
      <c r="D56" s="4">
        <v>1.397E-2</v>
      </c>
      <c r="E56" s="4">
        <v>2.9239999999999999E-2</v>
      </c>
      <c r="F56" s="4">
        <v>3.3980000000000003E-2</v>
      </c>
      <c r="G56" s="4">
        <v>1.502E-2</v>
      </c>
      <c r="H56" s="15">
        <f>B56+MAX(Interpolation!$I57*B56,1%)</f>
        <v>3.9050000000000001E-2</v>
      </c>
      <c r="I56" s="15">
        <f>C56+MAX(Interpolation!$I57*C56,1%)</f>
        <v>4.1600000000000005E-2</v>
      </c>
      <c r="J56" s="15">
        <f>D56+MAX(Interpolation!$I57*D56,1%)</f>
        <v>2.3969999999999998E-2</v>
      </c>
      <c r="K56" s="15">
        <f>E56+MAX(Interpolation!$I57*E56,1%)</f>
        <v>3.9239999999999997E-2</v>
      </c>
      <c r="L56" s="15">
        <f>F56+MAX(Interpolation!$I57*F56,1%)</f>
        <v>4.3980000000000005E-2</v>
      </c>
      <c r="M56" s="15">
        <f>G56+MAX(Interpolation!$I57*G56,1%)</f>
        <v>2.5020000000000001E-2</v>
      </c>
      <c r="N56" s="15">
        <f>B56-MAX(Interpolation!$J57*B56,0%)</f>
        <v>2.1932749999999994E-2</v>
      </c>
      <c r="O56" s="15">
        <f>C56-MAX(Interpolation!$J57*C56,0%)</f>
        <v>2.3857999999999997E-2</v>
      </c>
      <c r="P56" s="15">
        <f>D56-MAX(Interpolation!$J57*D56,0%)</f>
        <v>1.0547349999999997E-2</v>
      </c>
      <c r="Q56" s="15">
        <f>E56-MAX(Interpolation!$J57*E56,0%)</f>
        <v>2.2076199999999994E-2</v>
      </c>
      <c r="R56" s="15">
        <f>F56-MAX(Interpolation!$J57*F56,0%)</f>
        <v>2.5654899999999994E-2</v>
      </c>
      <c r="S56" s="15">
        <f>G56-MAX(Interpolation!$J57*G56,0%)</f>
        <v>1.1340099999999997E-2</v>
      </c>
    </row>
    <row r="57" spans="1:19" x14ac:dyDescent="0.25">
      <c r="A57" s="1">
        <v>56</v>
      </c>
      <c r="B57" s="3">
        <v>2.928E-2</v>
      </c>
      <c r="C57" s="3">
        <v>3.1759999999999997E-2</v>
      </c>
      <c r="D57" s="3">
        <v>1.4080000000000001E-2</v>
      </c>
      <c r="E57" s="3">
        <v>2.946E-2</v>
      </c>
      <c r="F57" s="3">
        <v>3.4090000000000002E-2</v>
      </c>
      <c r="G57" s="3">
        <v>1.511E-2</v>
      </c>
      <c r="H57" s="15">
        <f>B57+MAX(Interpolation!$I58*B57,1%)</f>
        <v>3.9280000000000002E-2</v>
      </c>
      <c r="I57" s="15">
        <f>C57+MAX(Interpolation!$I58*C57,1%)</f>
        <v>4.1759999999999999E-2</v>
      </c>
      <c r="J57" s="15">
        <f>D57+MAX(Interpolation!$I58*D57,1%)</f>
        <v>2.4080000000000001E-2</v>
      </c>
      <c r="K57" s="15">
        <f>E57+MAX(Interpolation!$I58*E57,1%)</f>
        <v>3.9460000000000002E-2</v>
      </c>
      <c r="L57" s="15">
        <f>F57+MAX(Interpolation!$I58*F57,1%)</f>
        <v>4.4090000000000004E-2</v>
      </c>
      <c r="M57" s="15">
        <f>G57+MAX(Interpolation!$I58*G57,1%)</f>
        <v>2.511E-2</v>
      </c>
      <c r="N57" s="15">
        <f>B57-MAX(Interpolation!$J58*B57,0%)</f>
        <v>2.2144045714285708E-2</v>
      </c>
      <c r="O57" s="15">
        <f>C57-MAX(Interpolation!$J58*C57,0%)</f>
        <v>2.4019634285714277E-2</v>
      </c>
      <c r="P57" s="15">
        <f>D57-MAX(Interpolation!$J58*D57,0%)</f>
        <v>1.0648502857142854E-2</v>
      </c>
      <c r="Q57" s="15">
        <f>E57-MAX(Interpolation!$J58*E57,0%)</f>
        <v>2.2280177142857138E-2</v>
      </c>
      <c r="R57" s="15">
        <f>F57-MAX(Interpolation!$J58*F57,0%)</f>
        <v>2.5781779999999994E-2</v>
      </c>
      <c r="S57" s="15">
        <f>G57-MAX(Interpolation!$J58*G57,0%)</f>
        <v>1.1427477142857139E-2</v>
      </c>
    </row>
    <row r="58" spans="1:19" x14ac:dyDescent="0.25">
      <c r="A58" s="1">
        <v>57</v>
      </c>
      <c r="B58" s="3">
        <v>2.9489999999999999E-2</v>
      </c>
      <c r="C58" s="3">
        <v>3.1910000000000001E-2</v>
      </c>
      <c r="D58" s="3">
        <v>1.4189999999999999E-2</v>
      </c>
      <c r="E58" s="3">
        <v>2.9669999999999998E-2</v>
      </c>
      <c r="F58" s="3">
        <v>3.4200000000000001E-2</v>
      </c>
      <c r="G58" s="3">
        <v>1.52E-2</v>
      </c>
      <c r="H58" s="15">
        <f>B58+MAX(Interpolation!$I59*B58,1%)</f>
        <v>3.9489999999999997E-2</v>
      </c>
      <c r="I58" s="15">
        <f>C58+MAX(Interpolation!$I59*C58,1%)</f>
        <v>4.1910000000000003E-2</v>
      </c>
      <c r="J58" s="15">
        <f>D58+MAX(Interpolation!$I59*D58,1%)</f>
        <v>2.419E-2</v>
      </c>
      <c r="K58" s="15">
        <f>E58+MAX(Interpolation!$I59*E58,1%)</f>
        <v>3.9669999999999997E-2</v>
      </c>
      <c r="L58" s="15">
        <f>F58+MAX(Interpolation!$I59*F58,1%)</f>
        <v>4.4200000000000003E-2</v>
      </c>
      <c r="M58" s="15">
        <f>G58+MAX(Interpolation!$I59*G58,1%)</f>
        <v>2.52E-2</v>
      </c>
      <c r="N58" s="15">
        <f>B58-MAX(Interpolation!$J59*B58,0%)</f>
        <v>2.2340781428571422E-2</v>
      </c>
      <c r="O58" s="15">
        <f>C58-MAX(Interpolation!$J59*C58,0%)</f>
        <v>2.417410428571428E-2</v>
      </c>
      <c r="P58" s="15">
        <f>D58-MAX(Interpolation!$J59*D58,0%)</f>
        <v>1.0749938571428568E-2</v>
      </c>
      <c r="Q58" s="15">
        <f>E58-MAX(Interpolation!$J59*E58,0%)</f>
        <v>2.2477144285714276E-2</v>
      </c>
      <c r="R58" s="15">
        <f>F58-MAX(Interpolation!$J59*F58,0%)</f>
        <v>2.5908942857142851E-2</v>
      </c>
      <c r="S58" s="15">
        <f>G58-MAX(Interpolation!$J59*G58,0%)</f>
        <v>1.1515085714285712E-2</v>
      </c>
    </row>
    <row r="59" spans="1:19" x14ac:dyDescent="0.25">
      <c r="A59" s="1">
        <v>58</v>
      </c>
      <c r="B59" s="3">
        <v>2.971E-2</v>
      </c>
      <c r="C59" s="3">
        <v>3.2050000000000002E-2</v>
      </c>
      <c r="D59" s="3">
        <v>1.4290000000000001E-2</v>
      </c>
      <c r="E59" s="3">
        <v>2.988E-2</v>
      </c>
      <c r="F59" s="3">
        <v>3.4299999999999997E-2</v>
      </c>
      <c r="G59" s="3">
        <v>1.529E-2</v>
      </c>
      <c r="H59" s="15">
        <f>B59+MAX(Interpolation!$I60*B59,1%)</f>
        <v>3.9710000000000002E-2</v>
      </c>
      <c r="I59" s="15">
        <f>C59+MAX(Interpolation!$I60*C59,1%)</f>
        <v>4.2050000000000004E-2</v>
      </c>
      <c r="J59" s="15">
        <f>D59+MAX(Interpolation!$I60*D59,1%)</f>
        <v>2.4289999999999999E-2</v>
      </c>
      <c r="K59" s="15">
        <f>E59+MAX(Interpolation!$I60*E59,1%)</f>
        <v>3.9879999999999999E-2</v>
      </c>
      <c r="L59" s="15">
        <f>F59+MAX(Interpolation!$I60*F59,1%)</f>
        <v>4.4299999999999999E-2</v>
      </c>
      <c r="M59" s="15">
        <f>G59+MAX(Interpolation!$I60*G59,1%)</f>
        <v>2.529E-2</v>
      </c>
      <c r="N59" s="15">
        <f>B59-MAX(Interpolation!$J60*B59,0%)</f>
        <v>2.2545645714285707E-2</v>
      </c>
      <c r="O59" s="15">
        <f>C59-MAX(Interpolation!$J60*C59,0%)</f>
        <v>2.4321371428571423E-2</v>
      </c>
      <c r="P59" s="15">
        <f>D59-MAX(Interpolation!$J60*D59,0%)</f>
        <v>1.084406857142857E-2</v>
      </c>
      <c r="Q59" s="15">
        <f>E59-MAX(Interpolation!$J60*E59,0%)</f>
        <v>2.2674651428571422E-2</v>
      </c>
      <c r="R59" s="15">
        <f>F59-MAX(Interpolation!$J60*F59,0%)</f>
        <v>2.6028799999999991E-2</v>
      </c>
      <c r="S59" s="15">
        <f>G59-MAX(Interpolation!$J60*G59,0%)</f>
        <v>1.160292571428571E-2</v>
      </c>
    </row>
    <row r="60" spans="1:19" x14ac:dyDescent="0.25">
      <c r="A60" s="1">
        <v>59</v>
      </c>
      <c r="B60" s="3">
        <v>2.9909999999999999E-2</v>
      </c>
      <c r="C60" s="3">
        <v>3.2190000000000003E-2</v>
      </c>
      <c r="D60" s="3">
        <v>1.439E-2</v>
      </c>
      <c r="E60" s="3">
        <v>3.0089999999999999E-2</v>
      </c>
      <c r="F60" s="3">
        <v>3.4410000000000003E-2</v>
      </c>
      <c r="G60" s="3">
        <v>1.537E-2</v>
      </c>
      <c r="H60" s="15">
        <f>B60+MAX(Interpolation!$I61*B60,1%)</f>
        <v>3.9910000000000001E-2</v>
      </c>
      <c r="I60" s="15">
        <f>C60+MAX(Interpolation!$I61*C60,1%)</f>
        <v>4.2190000000000005E-2</v>
      </c>
      <c r="J60" s="15">
        <f>D60+MAX(Interpolation!$I61*D60,1%)</f>
        <v>2.4390000000000002E-2</v>
      </c>
      <c r="K60" s="15">
        <f>E60+MAX(Interpolation!$I61*E60,1%)</f>
        <v>4.0090000000000001E-2</v>
      </c>
      <c r="L60" s="15">
        <f>F60+MAX(Interpolation!$I61*F60,1%)</f>
        <v>4.4410000000000005E-2</v>
      </c>
      <c r="M60" s="15">
        <f>G60+MAX(Interpolation!$I61*G60,1%)</f>
        <v>2.537E-2</v>
      </c>
      <c r="N60" s="15">
        <f>B60-MAX(Interpolation!$J61*B60,0%)</f>
        <v>2.2735872857142847E-2</v>
      </c>
      <c r="O60" s="15">
        <f>C60-MAX(Interpolation!$J61*C60,0%)</f>
        <v>2.4468998571428566E-2</v>
      </c>
      <c r="P60" s="15">
        <f>D60-MAX(Interpolation!$J61*D60,0%)</f>
        <v>1.093845571428571E-2</v>
      </c>
      <c r="Q60" s="15">
        <f>E60-MAX(Interpolation!$J61*E60,0%)</f>
        <v>2.2872698571428561E-2</v>
      </c>
      <c r="R60" s="15">
        <f>F60-MAX(Interpolation!$J61*F60,0%)</f>
        <v>2.6156515714285709E-2</v>
      </c>
      <c r="S60" s="15">
        <f>G60-MAX(Interpolation!$J61*G60,0%)</f>
        <v>1.168339571428571E-2</v>
      </c>
    </row>
    <row r="61" spans="1:19" x14ac:dyDescent="0.25">
      <c r="A61" s="2">
        <v>60</v>
      </c>
      <c r="B61" s="4">
        <v>3.0110000000000001E-2</v>
      </c>
      <c r="C61" s="4">
        <v>3.2329999999999998E-2</v>
      </c>
      <c r="D61" s="4">
        <v>1.4489999999999999E-2</v>
      </c>
      <c r="E61" s="4">
        <v>3.0280000000000001E-2</v>
      </c>
      <c r="F61" s="4">
        <v>3.4509999999999999E-2</v>
      </c>
      <c r="G61" s="4">
        <v>1.545E-2</v>
      </c>
      <c r="H61" s="15">
        <f>B61+MAX(Interpolation!$I62*B61,1%)</f>
        <v>4.011E-2</v>
      </c>
      <c r="I61" s="15">
        <f>C61+MAX(Interpolation!$I62*C61,1%)</f>
        <v>4.233E-2</v>
      </c>
      <c r="J61" s="15">
        <f>D61+MAX(Interpolation!$I62*D61,1%)</f>
        <v>2.4489999999999998E-2</v>
      </c>
      <c r="K61" s="15">
        <f>E61+MAX(Interpolation!$I62*E61,1%)</f>
        <v>4.0280000000000003E-2</v>
      </c>
      <c r="L61" s="15">
        <f>F61+MAX(Interpolation!$I62*F61,1%)</f>
        <v>4.4510000000000001E-2</v>
      </c>
      <c r="M61" s="15">
        <f>G61+MAX(Interpolation!$I62*G61,1%)</f>
        <v>2.545E-2</v>
      </c>
      <c r="N61" s="15">
        <f>B61-MAX(Interpolation!$J62*B61,0%)</f>
        <v>2.292661428571428E-2</v>
      </c>
      <c r="O61" s="15">
        <f>C61-MAX(Interpolation!$J62*C61,0%)</f>
        <v>2.4616985714285704E-2</v>
      </c>
      <c r="P61" s="15">
        <f>D61-MAX(Interpolation!$J62*D61,0%)</f>
        <v>1.1033099999999995E-2</v>
      </c>
      <c r="Q61" s="15">
        <f>E61-MAX(Interpolation!$J62*E61,0%)</f>
        <v>2.3056057142857137E-2</v>
      </c>
      <c r="R61" s="15">
        <f>F61-MAX(Interpolation!$J62*F61,0%)</f>
        <v>2.6276899999999992E-2</v>
      </c>
      <c r="S61" s="15">
        <f>G61-MAX(Interpolation!$J62*G61,0%)</f>
        <v>1.1764071428571426E-2</v>
      </c>
    </row>
    <row r="62" spans="1:19" x14ac:dyDescent="0.25">
      <c r="A62" s="1">
        <v>61</v>
      </c>
      <c r="B62" s="3">
        <v>3.0300000000000001E-2</v>
      </c>
      <c r="C62" s="3">
        <v>3.2460000000000003E-2</v>
      </c>
      <c r="D62" s="3">
        <v>1.4590000000000001E-2</v>
      </c>
      <c r="E62" s="3">
        <v>3.0470000000000001E-2</v>
      </c>
      <c r="F62" s="3">
        <v>3.4599999999999999E-2</v>
      </c>
      <c r="G62" s="3">
        <v>1.553E-2</v>
      </c>
      <c r="H62" s="15">
        <f>B62+MAX(Interpolation!$I63*B62,1%)</f>
        <v>4.0300000000000002E-2</v>
      </c>
      <c r="I62" s="15">
        <f>C62+MAX(Interpolation!$I63*C62,1%)</f>
        <v>4.2460000000000005E-2</v>
      </c>
      <c r="J62" s="15">
        <f>D62+MAX(Interpolation!$I63*D62,1%)</f>
        <v>2.4590000000000001E-2</v>
      </c>
      <c r="K62" s="15">
        <f>E62+MAX(Interpolation!$I63*E62,1%)</f>
        <v>4.0469999999999999E-2</v>
      </c>
      <c r="L62" s="15">
        <f>F62+MAX(Interpolation!$I63*F62,1%)</f>
        <v>4.4600000000000001E-2</v>
      </c>
      <c r="M62" s="15">
        <f>G62+MAX(Interpolation!$I63*G62,1%)</f>
        <v>2.5530000000000001E-2</v>
      </c>
      <c r="N62" s="15">
        <f>B62-MAX(Interpolation!$J63*B62,0%)</f>
        <v>2.3110242857142849E-2</v>
      </c>
      <c r="O62" s="15">
        <f>C62-MAX(Interpolation!$J63*C62,0%)</f>
        <v>2.4757705714285708E-2</v>
      </c>
      <c r="P62" s="15">
        <f>D62-MAX(Interpolation!$J63*D62,0%)</f>
        <v>1.1128001428571425E-2</v>
      </c>
      <c r="Q62" s="15">
        <f>E62-MAX(Interpolation!$J63*E62,0%)</f>
        <v>2.3239904285714277E-2</v>
      </c>
      <c r="R62" s="15">
        <f>F62-MAX(Interpolation!$J63*F62,0%)</f>
        <v>2.6389914285714276E-2</v>
      </c>
      <c r="S62" s="15">
        <f>G62-MAX(Interpolation!$J63*G62,0%)</f>
        <v>1.1844952857142854E-2</v>
      </c>
    </row>
    <row r="63" spans="1:19" x14ac:dyDescent="0.25">
      <c r="A63" s="1">
        <v>62</v>
      </c>
      <c r="B63" s="3">
        <v>3.049E-2</v>
      </c>
      <c r="C63" s="3">
        <v>3.2590000000000001E-2</v>
      </c>
      <c r="D63" s="3">
        <v>1.468E-2</v>
      </c>
      <c r="E63" s="3">
        <v>3.065E-2</v>
      </c>
      <c r="F63" s="3">
        <v>3.4700000000000002E-2</v>
      </c>
      <c r="G63" s="3">
        <v>1.5610000000000001E-2</v>
      </c>
      <c r="H63" s="15">
        <f>B63+MAX(Interpolation!$I64*B63,1%)</f>
        <v>4.0489999999999998E-2</v>
      </c>
      <c r="I63" s="15">
        <f>C63+MAX(Interpolation!$I64*C63,1%)</f>
        <v>4.2590000000000003E-2</v>
      </c>
      <c r="J63" s="15">
        <f>D63+MAX(Interpolation!$I64*D63,1%)</f>
        <v>2.4680000000000001E-2</v>
      </c>
      <c r="K63" s="15">
        <f>E63+MAX(Interpolation!$I64*E63,1%)</f>
        <v>4.0649999999999999E-2</v>
      </c>
      <c r="L63" s="15">
        <f>F63+MAX(Interpolation!$I64*F63,1%)</f>
        <v>4.4700000000000004E-2</v>
      </c>
      <c r="M63" s="15">
        <f>G63+MAX(Interpolation!$I64*G63,1%)</f>
        <v>2.5610000000000001E-2</v>
      </c>
      <c r="N63" s="15">
        <f>B63-MAX(Interpolation!$J64*B63,0%)</f>
        <v>2.3294359999999993E-2</v>
      </c>
      <c r="O63" s="15">
        <f>C63-MAX(Interpolation!$J64*C63,0%)</f>
        <v>2.4898759999999992E-2</v>
      </c>
      <c r="P63" s="15">
        <f>D63-MAX(Interpolation!$J64*D63,0%)</f>
        <v>1.1215519999999996E-2</v>
      </c>
      <c r="Q63" s="15">
        <f>E63-MAX(Interpolation!$J64*E63,0%)</f>
        <v>2.3416599999999992E-2</v>
      </c>
      <c r="R63" s="15">
        <f>F63-MAX(Interpolation!$J64*F63,0%)</f>
        <v>2.6510799999999994E-2</v>
      </c>
      <c r="S63" s="15">
        <f>G63-MAX(Interpolation!$J64*G63,0%)</f>
        <v>1.1926039999999995E-2</v>
      </c>
    </row>
    <row r="64" spans="1:19" x14ac:dyDescent="0.25">
      <c r="A64" s="1">
        <v>63</v>
      </c>
      <c r="B64" s="3">
        <v>3.0669999999999999E-2</v>
      </c>
      <c r="C64" s="3">
        <v>3.2710000000000003E-2</v>
      </c>
      <c r="D64" s="3">
        <v>1.477E-2</v>
      </c>
      <c r="E64" s="3">
        <v>3.083E-2</v>
      </c>
      <c r="F64" s="3">
        <v>3.4790000000000001E-2</v>
      </c>
      <c r="G64" s="3">
        <v>1.5679999999999999E-2</v>
      </c>
      <c r="H64" s="15">
        <f>B64+MAX(Interpolation!$I65*B64,1%)</f>
        <v>4.0669999999999998E-2</v>
      </c>
      <c r="I64" s="15">
        <f>C64+MAX(Interpolation!$I65*C64,1%)</f>
        <v>4.2710000000000005E-2</v>
      </c>
      <c r="J64" s="15">
        <f>D64+MAX(Interpolation!$I65*D64,1%)</f>
        <v>2.477E-2</v>
      </c>
      <c r="K64" s="15">
        <f>E64+MAX(Interpolation!$I65*E64,1%)</f>
        <v>4.0829999999999998E-2</v>
      </c>
      <c r="L64" s="15">
        <f>F64+MAX(Interpolation!$I65*F64,1%)</f>
        <v>4.4790000000000003E-2</v>
      </c>
      <c r="M64" s="15">
        <f>G64+MAX(Interpolation!$I65*G64,1%)</f>
        <v>2.5680000000000001E-2</v>
      </c>
      <c r="N64" s="15">
        <f>B64-MAX(Interpolation!$J65*B64,0%)</f>
        <v>2.3471312857142847E-2</v>
      </c>
      <c r="O64" s="15">
        <f>C64-MAX(Interpolation!$J65*C64,0%)</f>
        <v>2.5032495714285709E-2</v>
      </c>
      <c r="P64" s="15">
        <f>D64-MAX(Interpolation!$J65*D64,0%)</f>
        <v>1.1303269999999995E-2</v>
      </c>
      <c r="Q64" s="15">
        <f>E64-MAX(Interpolation!$J65*E64,0%)</f>
        <v>2.3593758571428564E-2</v>
      </c>
      <c r="R64" s="15">
        <f>F64-MAX(Interpolation!$J65*F64,0%)</f>
        <v>2.6624289999999991E-2</v>
      </c>
      <c r="S64" s="15">
        <f>G64-MAX(Interpolation!$J65*G64,0%)</f>
        <v>1.1999679999999995E-2</v>
      </c>
    </row>
    <row r="65" spans="1:19" x14ac:dyDescent="0.25">
      <c r="A65" s="1">
        <v>64</v>
      </c>
      <c r="B65" s="3">
        <v>3.0839999999999999E-2</v>
      </c>
      <c r="C65" s="3">
        <v>3.2829999999999998E-2</v>
      </c>
      <c r="D65" s="3">
        <v>1.485E-2</v>
      </c>
      <c r="E65" s="3">
        <v>3.1E-2</v>
      </c>
      <c r="F65" s="3">
        <v>3.4869999999999998E-2</v>
      </c>
      <c r="G65" s="3">
        <v>1.576E-2</v>
      </c>
      <c r="H65" s="15">
        <f>B65+MAX(Interpolation!$I66*B65,1%)</f>
        <v>4.0840000000000001E-2</v>
      </c>
      <c r="I65" s="15">
        <f>C65+MAX(Interpolation!$I66*C65,1%)</f>
        <v>4.283E-2</v>
      </c>
      <c r="J65" s="15">
        <f>D65+MAX(Interpolation!$I66*D65,1%)</f>
        <v>2.4850000000000001E-2</v>
      </c>
      <c r="K65" s="15">
        <f>E65+MAX(Interpolation!$I66*E65,1%)</f>
        <v>4.1000000000000002E-2</v>
      </c>
      <c r="L65" s="15">
        <f>F65+MAX(Interpolation!$I66*F65,1%)</f>
        <v>4.487E-2</v>
      </c>
      <c r="M65" s="15">
        <f>G65+MAX(Interpolation!$I66*G65,1%)</f>
        <v>2.5759999999999998E-2</v>
      </c>
      <c r="N65" s="15">
        <f>B65-MAX(Interpolation!$J66*B65,0%)</f>
        <v>2.3641062857142847E-2</v>
      </c>
      <c r="O65" s="15">
        <f>C65-MAX(Interpolation!$J66*C65,0%)</f>
        <v>2.5166539999999987E-2</v>
      </c>
      <c r="P65" s="15">
        <f>D65-MAX(Interpolation!$J66*D65,0%)</f>
        <v>1.138358571428571E-2</v>
      </c>
      <c r="Q65" s="15">
        <f>E65-MAX(Interpolation!$J66*E65,0%)</f>
        <v>2.3763714285714277E-2</v>
      </c>
      <c r="R65" s="15">
        <f>F65-MAX(Interpolation!$J66*F65,0%)</f>
        <v>2.6730345714285703E-2</v>
      </c>
      <c r="S65" s="15">
        <f>G65-MAX(Interpolation!$J66*G65,0%)</f>
        <v>1.208116571428571E-2</v>
      </c>
    </row>
    <row r="66" spans="1:19" x14ac:dyDescent="0.25">
      <c r="A66" s="2">
        <v>65</v>
      </c>
      <c r="B66" s="4">
        <v>3.1009999999999999E-2</v>
      </c>
      <c r="C66" s="4">
        <v>3.295E-2</v>
      </c>
      <c r="D66" s="4">
        <v>1.494E-2</v>
      </c>
      <c r="E66" s="4">
        <v>3.117E-2</v>
      </c>
      <c r="F66" s="4">
        <v>3.4959999999999998E-2</v>
      </c>
      <c r="G66" s="4">
        <v>1.583E-2</v>
      </c>
      <c r="H66" s="15">
        <f>B66+MAX(Interpolation!$I67*B66,1%)</f>
        <v>4.1009999999999998E-2</v>
      </c>
      <c r="I66" s="15">
        <f>C66+MAX(Interpolation!$I67*C66,1%)</f>
        <v>4.2950000000000002E-2</v>
      </c>
      <c r="J66" s="15">
        <f>D66+MAX(Interpolation!$I67*D66,1%)</f>
        <v>2.494E-2</v>
      </c>
      <c r="K66" s="15">
        <f>E66+MAX(Interpolation!$I67*E66,1%)</f>
        <v>4.1169999999999998E-2</v>
      </c>
      <c r="L66" s="15">
        <f>F66+MAX(Interpolation!$I67*F66,1%)</f>
        <v>4.496E-2</v>
      </c>
      <c r="M66" s="15">
        <f>G66+MAX(Interpolation!$I67*G66,1%)</f>
        <v>2.5829999999999999E-2</v>
      </c>
      <c r="N66" s="15">
        <f>B66-MAX(Interpolation!$J67*B66,0%)</f>
        <v>2.3811249999999992E-2</v>
      </c>
      <c r="O66" s="15">
        <f>C66-MAX(Interpolation!$J67*C66,0%)</f>
        <v>2.5300892857142848E-2</v>
      </c>
      <c r="P66" s="15">
        <f>D66-MAX(Interpolation!$J67*D66,0%)</f>
        <v>1.147178571428571E-2</v>
      </c>
      <c r="Q66" s="15">
        <f>E66-MAX(Interpolation!$J67*E66,0%)</f>
        <v>2.3934107142857132E-2</v>
      </c>
      <c r="R66" s="15">
        <f>F66-MAX(Interpolation!$J67*F66,0%)</f>
        <v>2.6844285714285702E-2</v>
      </c>
      <c r="S66" s="15">
        <f>G66-MAX(Interpolation!$J67*G66,0%)</f>
        <v>1.2155178571428567E-2</v>
      </c>
    </row>
    <row r="67" spans="1:19" x14ac:dyDescent="0.25">
      <c r="A67" s="1">
        <v>66</v>
      </c>
      <c r="B67" s="3">
        <v>3.1179999999999999E-2</v>
      </c>
      <c r="C67" s="3">
        <v>3.3059999999999999E-2</v>
      </c>
      <c r="D67" s="3">
        <v>1.502E-2</v>
      </c>
      <c r="E67" s="3">
        <v>3.1329999999999997E-2</v>
      </c>
      <c r="F67" s="3">
        <v>3.5040000000000002E-2</v>
      </c>
      <c r="G67" s="3">
        <v>1.5890000000000001E-2</v>
      </c>
      <c r="H67" s="15">
        <f>B67+MAX(Interpolation!$I68*B67,1%)</f>
        <v>4.1180000000000001E-2</v>
      </c>
      <c r="I67" s="15">
        <f>C67+MAX(Interpolation!$I68*C67,1%)</f>
        <v>4.3060000000000001E-2</v>
      </c>
      <c r="J67" s="15">
        <f>D67+MAX(Interpolation!$I68*D67,1%)</f>
        <v>2.5020000000000001E-2</v>
      </c>
      <c r="K67" s="15">
        <f>E67+MAX(Interpolation!$I68*E67,1%)</f>
        <v>4.1329999999999999E-2</v>
      </c>
      <c r="L67" s="15">
        <f>F67+MAX(Interpolation!$I68*F67,1%)</f>
        <v>4.5040000000000004E-2</v>
      </c>
      <c r="M67" s="15">
        <f>G67+MAX(Interpolation!$I68*G67,1%)</f>
        <v>2.5890000000000003E-2</v>
      </c>
      <c r="N67" s="15">
        <f>B67-MAX(Interpolation!$J68*B67,0%)</f>
        <v>2.3981874285714275E-2</v>
      </c>
      <c r="O67" s="15">
        <f>C67-MAX(Interpolation!$J68*C67,0%)</f>
        <v>2.5427862857142845E-2</v>
      </c>
      <c r="P67" s="15">
        <f>D67-MAX(Interpolation!$J68*D67,0%)</f>
        <v>1.155252571428571E-2</v>
      </c>
      <c r="Q67" s="15">
        <f>E67-MAX(Interpolation!$J68*E67,0%)</f>
        <v>2.4097245714285703E-2</v>
      </c>
      <c r="R67" s="15">
        <f>F67-MAX(Interpolation!$J68*F67,0%)</f>
        <v>2.6950765714285705E-2</v>
      </c>
      <c r="S67" s="15">
        <f>G67-MAX(Interpolation!$J68*G67,0%)</f>
        <v>1.2221679999999997E-2</v>
      </c>
    </row>
    <row r="68" spans="1:19" x14ac:dyDescent="0.25">
      <c r="A68" s="1">
        <v>67</v>
      </c>
      <c r="B68" s="3">
        <v>3.134E-2</v>
      </c>
      <c r="C68" s="3">
        <v>3.3169999999999998E-2</v>
      </c>
      <c r="D68" s="3">
        <v>1.5100000000000001E-2</v>
      </c>
      <c r="E68" s="3">
        <v>3.1489999999999997E-2</v>
      </c>
      <c r="F68" s="3">
        <v>3.5119999999999998E-2</v>
      </c>
      <c r="G68" s="3">
        <v>1.5959999999999998E-2</v>
      </c>
      <c r="H68" s="15">
        <f>B68+MAX(Interpolation!$I69*B68,1%)</f>
        <v>4.1340000000000002E-2</v>
      </c>
      <c r="I68" s="15">
        <f>C68+MAX(Interpolation!$I69*C68,1%)</f>
        <v>4.317E-2</v>
      </c>
      <c r="J68" s="15">
        <f>D68+MAX(Interpolation!$I69*D68,1%)</f>
        <v>2.5100000000000001E-2</v>
      </c>
      <c r="K68" s="15">
        <f>E68+MAX(Interpolation!$I69*E68,1%)</f>
        <v>4.1489999999999999E-2</v>
      </c>
      <c r="L68" s="15">
        <f>F68+MAX(Interpolation!$I69*F68,1%)</f>
        <v>4.512E-2</v>
      </c>
      <c r="M68" s="15">
        <f>G68+MAX(Interpolation!$I69*G68,1%)</f>
        <v>2.5959999999999997E-2</v>
      </c>
      <c r="N68" s="15">
        <f>B68-MAX(Interpolation!$J69*B68,0%)</f>
        <v>2.4145231428571418E-2</v>
      </c>
      <c r="O68" s="15">
        <f>C68-MAX(Interpolation!$J69*C68,0%)</f>
        <v>2.5555115714285703E-2</v>
      </c>
      <c r="P68" s="15">
        <f>D68-MAX(Interpolation!$J69*D68,0%)</f>
        <v>1.1633471428571424E-2</v>
      </c>
      <c r="Q68" s="15">
        <f>E68-MAX(Interpolation!$J69*E68,0%)</f>
        <v>2.4260795714285702E-2</v>
      </c>
      <c r="R68" s="15">
        <f>F68-MAX(Interpolation!$J69*F68,0%)</f>
        <v>2.7057451428571418E-2</v>
      </c>
      <c r="S68" s="15">
        <f>G68-MAX(Interpolation!$J69*G68,0%)</f>
        <v>1.2296039999999994E-2</v>
      </c>
    </row>
    <row r="69" spans="1:19" x14ac:dyDescent="0.25">
      <c r="A69" s="1">
        <v>68</v>
      </c>
      <c r="B69" s="3">
        <v>3.1489999999999997E-2</v>
      </c>
      <c r="C69" s="3">
        <v>3.3279999999999997E-2</v>
      </c>
      <c r="D69" s="3">
        <v>1.5180000000000001E-2</v>
      </c>
      <c r="E69" s="3">
        <v>3.1649999999999998E-2</v>
      </c>
      <c r="F69" s="3">
        <v>3.5200000000000002E-2</v>
      </c>
      <c r="G69" s="3">
        <v>1.602E-2</v>
      </c>
      <c r="H69" s="15">
        <f>B69+MAX(Interpolation!$I70*B69,1%)</f>
        <v>4.1489999999999999E-2</v>
      </c>
      <c r="I69" s="15">
        <f>C69+MAX(Interpolation!$I70*C69,1%)</f>
        <v>4.3279999999999999E-2</v>
      </c>
      <c r="J69" s="15">
        <f>D69+MAX(Interpolation!$I70*D69,1%)</f>
        <v>2.5180000000000001E-2</v>
      </c>
      <c r="K69" s="15">
        <f>E69+MAX(Interpolation!$I70*E69,1%)</f>
        <v>4.165E-2</v>
      </c>
      <c r="L69" s="15">
        <f>F69+MAX(Interpolation!$I70*F69,1%)</f>
        <v>4.5200000000000004E-2</v>
      </c>
      <c r="M69" s="15">
        <f>G69+MAX(Interpolation!$I70*G69,1%)</f>
        <v>2.6020000000000001E-2</v>
      </c>
      <c r="N69" s="15">
        <f>B69-MAX(Interpolation!$J70*B69,0%)</f>
        <v>2.4301282857142843E-2</v>
      </c>
      <c r="O69" s="15">
        <f>C69-MAX(Interpolation!$J70*C69,0%)</f>
        <v>2.5682651428571415E-2</v>
      </c>
      <c r="P69" s="15">
        <f>D69-MAX(Interpolation!$J70*D69,0%)</f>
        <v>1.1714622857142854E-2</v>
      </c>
      <c r="Q69" s="15">
        <f>E69-MAX(Interpolation!$J70*E69,0%)</f>
        <v>2.4424757142857131E-2</v>
      </c>
      <c r="R69" s="15">
        <f>F69-MAX(Interpolation!$J70*F69,0%)</f>
        <v>2.7164342857142847E-2</v>
      </c>
      <c r="S69" s="15">
        <f>G69-MAX(Interpolation!$J70*G69,0%)</f>
        <v>1.2362862857142852E-2</v>
      </c>
    </row>
    <row r="70" spans="1:19" x14ac:dyDescent="0.25">
      <c r="A70" s="1">
        <v>69</v>
      </c>
      <c r="B70" s="3">
        <v>3.1640000000000001E-2</v>
      </c>
      <c r="C70" s="3">
        <v>3.338E-2</v>
      </c>
      <c r="D70" s="3">
        <v>1.525E-2</v>
      </c>
      <c r="E70" s="3">
        <v>3.1789999999999999E-2</v>
      </c>
      <c r="F70" s="3">
        <v>3.5279999999999999E-2</v>
      </c>
      <c r="G70" s="3">
        <v>1.609E-2</v>
      </c>
      <c r="H70" s="15">
        <f>B70+MAX(Interpolation!$I71*B70,1%)</f>
        <v>4.1640000000000003E-2</v>
      </c>
      <c r="I70" s="15">
        <f>C70+MAX(Interpolation!$I71*C70,1%)</f>
        <v>4.3380000000000002E-2</v>
      </c>
      <c r="J70" s="15">
        <f>D70+MAX(Interpolation!$I71*D70,1%)</f>
        <v>2.5250000000000002E-2</v>
      </c>
      <c r="K70" s="15">
        <f>E70+MAX(Interpolation!$I71*E70,1%)</f>
        <v>4.1790000000000001E-2</v>
      </c>
      <c r="L70" s="15">
        <f>F70+MAX(Interpolation!$I71*F70,1%)</f>
        <v>4.5280000000000001E-2</v>
      </c>
      <c r="M70" s="15">
        <f>G70+MAX(Interpolation!$I71*G70,1%)</f>
        <v>2.6090000000000002E-2</v>
      </c>
      <c r="N70" s="15">
        <f>B70-MAX(Interpolation!$J71*B70,0%)</f>
        <v>2.4457719999999992E-2</v>
      </c>
      <c r="O70" s="15">
        <f>C70-MAX(Interpolation!$J71*C70,0%)</f>
        <v>2.5802739999999991E-2</v>
      </c>
      <c r="P70" s="15">
        <f>D70-MAX(Interpolation!$J71*D70,0%)</f>
        <v>1.1788249999999995E-2</v>
      </c>
      <c r="Q70" s="15">
        <f>E70-MAX(Interpolation!$J71*E70,0%)</f>
        <v>2.4573669999999988E-2</v>
      </c>
      <c r="R70" s="15">
        <f>F70-MAX(Interpolation!$J71*F70,0%)</f>
        <v>2.7271439999999987E-2</v>
      </c>
      <c r="S70" s="15">
        <f>G70-MAX(Interpolation!$J71*G70,0%)</f>
        <v>1.2437569999999995E-2</v>
      </c>
    </row>
    <row r="71" spans="1:19" x14ac:dyDescent="0.25">
      <c r="A71" s="2">
        <v>70</v>
      </c>
      <c r="B71" s="4">
        <v>3.1789999999999999E-2</v>
      </c>
      <c r="C71" s="4">
        <v>3.3480000000000003E-2</v>
      </c>
      <c r="D71" s="4">
        <v>1.532E-2</v>
      </c>
      <c r="E71" s="4">
        <v>3.1940000000000003E-2</v>
      </c>
      <c r="F71" s="4">
        <v>3.5349999999999999E-2</v>
      </c>
      <c r="G71" s="4">
        <v>1.6150000000000001E-2</v>
      </c>
      <c r="H71" s="15">
        <f>B71+MAX(Interpolation!$I72*B71,1%)</f>
        <v>4.1790000000000001E-2</v>
      </c>
      <c r="I71" s="15">
        <f>C71+MAX(Interpolation!$I72*C71,1%)</f>
        <v>4.3480000000000005E-2</v>
      </c>
      <c r="J71" s="15">
        <f>D71+MAX(Interpolation!$I72*D71,1%)</f>
        <v>2.5320000000000002E-2</v>
      </c>
      <c r="K71" s="15">
        <f>E71+MAX(Interpolation!$I72*E71,1%)</f>
        <v>4.1940000000000005E-2</v>
      </c>
      <c r="L71" s="15">
        <f>F71+MAX(Interpolation!$I72*F71,1%)</f>
        <v>4.5350000000000001E-2</v>
      </c>
      <c r="M71" s="15">
        <f>G71+MAX(Interpolation!$I72*G71,1%)</f>
        <v>2.615E-2</v>
      </c>
      <c r="N71" s="15">
        <f>B71-MAX(Interpolation!$J72*B71,0%)</f>
        <v>2.4614542857142846E-2</v>
      </c>
      <c r="O71" s="15">
        <f>C71-MAX(Interpolation!$J72*C71,0%)</f>
        <v>2.5923085714285705E-2</v>
      </c>
      <c r="P71" s="15">
        <f>D71-MAX(Interpolation!$J72*D71,0%)</f>
        <v>1.1862057142857138E-2</v>
      </c>
      <c r="Q71" s="15">
        <f>E71-MAX(Interpolation!$J72*E71,0%)</f>
        <v>2.4730685714285706E-2</v>
      </c>
      <c r="R71" s="15">
        <f>F71-MAX(Interpolation!$J72*F71,0%)</f>
        <v>2.7370999999999989E-2</v>
      </c>
      <c r="S71" s="15">
        <f>G71-MAX(Interpolation!$J72*G71,0%)</f>
        <v>1.2504714285714282E-2</v>
      </c>
    </row>
    <row r="72" spans="1:19" x14ac:dyDescent="0.25">
      <c r="A72" s="1">
        <v>71</v>
      </c>
      <c r="B72" s="3">
        <v>3.193E-2</v>
      </c>
      <c r="C72" s="3">
        <v>3.3579999999999999E-2</v>
      </c>
      <c r="D72" s="3">
        <v>1.5389999999999999E-2</v>
      </c>
      <c r="E72" s="3">
        <v>3.2079999999999997E-2</v>
      </c>
      <c r="F72" s="3">
        <v>3.542E-2</v>
      </c>
      <c r="G72" s="3">
        <v>1.6209999999999999E-2</v>
      </c>
      <c r="H72" s="15">
        <f>B72+MAX(Interpolation!$I73*B72,1%)</f>
        <v>4.1930000000000002E-2</v>
      </c>
      <c r="I72" s="15">
        <f>C72+MAX(Interpolation!$I73*C72,1%)</f>
        <v>4.3580000000000001E-2</v>
      </c>
      <c r="J72" s="15">
        <f>D72+MAX(Interpolation!$I73*D72,1%)</f>
        <v>2.5389999999999999E-2</v>
      </c>
      <c r="K72" s="15">
        <f>E72+MAX(Interpolation!$I73*E72,1%)</f>
        <v>4.2079999999999999E-2</v>
      </c>
      <c r="L72" s="15">
        <f>F72+MAX(Interpolation!$I73*F72,1%)</f>
        <v>4.5420000000000002E-2</v>
      </c>
      <c r="M72" s="15">
        <f>G72+MAX(Interpolation!$I73*G72,1%)</f>
        <v>2.6209999999999997E-2</v>
      </c>
      <c r="N72" s="15">
        <f>B72-MAX(Interpolation!$J73*B72,0%)</f>
        <v>2.4763995714285704E-2</v>
      </c>
      <c r="O72" s="15">
        <f>C72-MAX(Interpolation!$J73*C72,0%)</f>
        <v>2.604368857142856E-2</v>
      </c>
      <c r="P72" s="15">
        <f>D72-MAX(Interpolation!$J73*D72,0%)</f>
        <v>1.193604428571428E-2</v>
      </c>
      <c r="Q72" s="15">
        <f>E72-MAX(Interpolation!$J73*E72,0%)</f>
        <v>2.4880331428571417E-2</v>
      </c>
      <c r="R72" s="15">
        <f>F72-MAX(Interpolation!$J73*F72,0%)</f>
        <v>2.7470739999999987E-2</v>
      </c>
      <c r="S72" s="15">
        <f>G72-MAX(Interpolation!$J73*G72,0%)</f>
        <v>1.257201285714285E-2</v>
      </c>
    </row>
    <row r="73" spans="1:19" x14ac:dyDescent="0.25">
      <c r="A73" s="1">
        <v>72</v>
      </c>
      <c r="B73" s="3">
        <v>3.2070000000000001E-2</v>
      </c>
      <c r="C73" s="3">
        <v>3.3680000000000002E-2</v>
      </c>
      <c r="D73" s="3">
        <v>1.546E-2</v>
      </c>
      <c r="E73" s="3">
        <v>3.2219999999999999E-2</v>
      </c>
      <c r="F73" s="3">
        <v>3.5490000000000001E-2</v>
      </c>
      <c r="G73" s="3">
        <v>1.626E-2</v>
      </c>
      <c r="H73" s="15">
        <f>B73+MAX(Interpolation!$I74*B73,1%)</f>
        <v>4.2070000000000003E-2</v>
      </c>
      <c r="I73" s="15">
        <f>C73+MAX(Interpolation!$I74*C73,1%)</f>
        <v>4.3680000000000004E-2</v>
      </c>
      <c r="J73" s="15">
        <f>D73+MAX(Interpolation!$I74*D73,1%)</f>
        <v>2.546E-2</v>
      </c>
      <c r="K73" s="15">
        <f>E73+MAX(Interpolation!$I74*E73,1%)</f>
        <v>4.2220000000000001E-2</v>
      </c>
      <c r="L73" s="15">
        <f>F73+MAX(Interpolation!$I74*F73,1%)</f>
        <v>4.5490000000000003E-2</v>
      </c>
      <c r="M73" s="15">
        <f>G73+MAX(Interpolation!$I74*G73,1%)</f>
        <v>2.6259999999999999E-2</v>
      </c>
      <c r="N73" s="15">
        <f>B73-MAX(Interpolation!$J74*B73,0%)</f>
        <v>2.491380857142856E-2</v>
      </c>
      <c r="O73" s="15">
        <f>C73-MAX(Interpolation!$J74*C73,0%)</f>
        <v>2.616454857142856E-2</v>
      </c>
      <c r="P73" s="15">
        <f>D73-MAX(Interpolation!$J74*D73,0%)</f>
        <v>1.2010211428571423E-2</v>
      </c>
      <c r="Q73" s="15">
        <f>E73-MAX(Interpolation!$J74*E73,0%)</f>
        <v>2.5030337142857132E-2</v>
      </c>
      <c r="R73" s="15">
        <f>F73-MAX(Interpolation!$J74*F73,0%)</f>
        <v>2.757065999999999E-2</v>
      </c>
      <c r="S73" s="15">
        <f>G73-MAX(Interpolation!$J74*G73,0%)</f>
        <v>1.2631697142857137E-2</v>
      </c>
    </row>
    <row r="74" spans="1:19" x14ac:dyDescent="0.25">
      <c r="A74" s="1">
        <v>73</v>
      </c>
      <c r="B74" s="3">
        <v>3.2210000000000003E-2</v>
      </c>
      <c r="C74" s="3">
        <v>3.3770000000000001E-2</v>
      </c>
      <c r="D74" s="3">
        <v>1.553E-2</v>
      </c>
      <c r="E74" s="3">
        <v>3.2349999999999997E-2</v>
      </c>
      <c r="F74" s="3">
        <v>3.5560000000000001E-2</v>
      </c>
      <c r="G74" s="3">
        <v>1.6320000000000001E-2</v>
      </c>
      <c r="H74" s="15">
        <f>B74+MAX(Interpolation!$I75*B74,1%)</f>
        <v>4.2210000000000004E-2</v>
      </c>
      <c r="I74" s="15">
        <f>C74+MAX(Interpolation!$I75*C74,1%)</f>
        <v>4.3770000000000003E-2</v>
      </c>
      <c r="J74" s="15">
        <f>D74+MAX(Interpolation!$I75*D74,1%)</f>
        <v>2.5530000000000001E-2</v>
      </c>
      <c r="K74" s="15">
        <f>E74+MAX(Interpolation!$I75*E74,1%)</f>
        <v>4.2349999999999999E-2</v>
      </c>
      <c r="L74" s="15">
        <f>F74+MAX(Interpolation!$I75*F74,1%)</f>
        <v>4.5560000000000003E-2</v>
      </c>
      <c r="M74" s="15">
        <f>G74+MAX(Interpolation!$I75*G74,1%)</f>
        <v>2.6320000000000003E-2</v>
      </c>
      <c r="N74" s="15">
        <f>B74-MAX(Interpolation!$J75*B74,0%)</f>
        <v>2.506398142857142E-2</v>
      </c>
      <c r="O74" s="15">
        <f>C74-MAX(Interpolation!$J75*C74,0%)</f>
        <v>2.6277884285714277E-2</v>
      </c>
      <c r="P74" s="15">
        <f>D74-MAX(Interpolation!$J75*D74,0%)</f>
        <v>1.2084558571428566E-2</v>
      </c>
      <c r="Q74" s="15">
        <f>E74-MAX(Interpolation!$J75*E74,0%)</f>
        <v>2.5172921428571415E-2</v>
      </c>
      <c r="R74" s="15">
        <f>F74-MAX(Interpolation!$J75*F74,0%)</f>
        <v>2.7670759999999989E-2</v>
      </c>
      <c r="S74" s="15">
        <f>G74-MAX(Interpolation!$J75*G74,0%)</f>
        <v>1.2699291428571425E-2</v>
      </c>
    </row>
    <row r="75" spans="1:19" x14ac:dyDescent="0.25">
      <c r="A75" s="1">
        <v>74</v>
      </c>
      <c r="B75" s="3">
        <v>3.2340000000000001E-2</v>
      </c>
      <c r="C75" s="3">
        <v>3.3860000000000001E-2</v>
      </c>
      <c r="D75" s="3">
        <v>1.5599999999999999E-2</v>
      </c>
      <c r="E75" s="3">
        <v>3.2480000000000002E-2</v>
      </c>
      <c r="F75" s="3">
        <v>3.5630000000000002E-2</v>
      </c>
      <c r="G75" s="3">
        <v>1.6379999999999999E-2</v>
      </c>
      <c r="H75" s="15">
        <f>B75+MAX(Interpolation!$I76*B75,1%)</f>
        <v>4.2340000000000003E-2</v>
      </c>
      <c r="I75" s="15">
        <f>C75+MAX(Interpolation!$I76*C75,1%)</f>
        <v>4.3860000000000003E-2</v>
      </c>
      <c r="J75" s="15">
        <f>D75+MAX(Interpolation!$I76*D75,1%)</f>
        <v>2.5599999999999998E-2</v>
      </c>
      <c r="K75" s="15">
        <f>E75+MAX(Interpolation!$I76*E75,1%)</f>
        <v>4.2480000000000004E-2</v>
      </c>
      <c r="L75" s="15">
        <f>F75+MAX(Interpolation!$I76*F75,1%)</f>
        <v>4.5630000000000004E-2</v>
      </c>
      <c r="M75" s="15">
        <f>G75+MAX(Interpolation!$I76*G75,1%)</f>
        <v>2.6380000000000001E-2</v>
      </c>
      <c r="N75" s="15">
        <f>B75-MAX(Interpolation!$J76*B75,0%)</f>
        <v>2.5206719999999988E-2</v>
      </c>
      <c r="O75" s="15">
        <f>C75-MAX(Interpolation!$J76*C75,0%)</f>
        <v>2.6391451428571418E-2</v>
      </c>
      <c r="P75" s="15">
        <f>D75-MAX(Interpolation!$J76*D75,0%)</f>
        <v>1.2159085714285709E-2</v>
      </c>
      <c r="Q75" s="15">
        <f>E75-MAX(Interpolation!$J76*E75,0%)</f>
        <v>2.5315839999999992E-2</v>
      </c>
      <c r="R75" s="15">
        <f>F75-MAX(Interpolation!$J76*F75,0%)</f>
        <v>2.777103999999999E-2</v>
      </c>
      <c r="S75" s="15">
        <f>G75-MAX(Interpolation!$J76*G75,0%)</f>
        <v>1.2767039999999993E-2</v>
      </c>
    </row>
    <row r="76" spans="1:19" x14ac:dyDescent="0.25">
      <c r="A76" s="2">
        <v>75</v>
      </c>
      <c r="B76" s="4">
        <v>3.2469999999999999E-2</v>
      </c>
      <c r="C76" s="4">
        <v>3.3950000000000001E-2</v>
      </c>
      <c r="D76" s="4">
        <v>1.566E-2</v>
      </c>
      <c r="E76" s="4">
        <v>3.261E-2</v>
      </c>
      <c r="F76" s="4">
        <v>3.569E-2</v>
      </c>
      <c r="G76" s="4">
        <v>1.643E-2</v>
      </c>
      <c r="H76" s="15">
        <f>B76+MAX(Interpolation!$I77*B76,1%)</f>
        <v>4.2470000000000001E-2</v>
      </c>
      <c r="I76" s="15">
        <f>C76+MAX(Interpolation!$I77*C76,1%)</f>
        <v>4.3950000000000003E-2</v>
      </c>
      <c r="J76" s="15">
        <f>D76+MAX(Interpolation!$I77*D76,1%)</f>
        <v>2.5660000000000002E-2</v>
      </c>
      <c r="K76" s="15">
        <f>E76+MAX(Interpolation!$I77*E76,1%)</f>
        <v>4.2610000000000002E-2</v>
      </c>
      <c r="L76" s="15">
        <f>F76+MAX(Interpolation!$I77*F76,1%)</f>
        <v>4.5690000000000001E-2</v>
      </c>
      <c r="M76" s="15">
        <f>G76+MAX(Interpolation!$I77*G76,1%)</f>
        <v>2.6430000000000002E-2</v>
      </c>
      <c r="N76" s="15">
        <f>B76-MAX(Interpolation!$J77*B76,0%)</f>
        <v>2.5349792857142846E-2</v>
      </c>
      <c r="O76" s="15">
        <f>C76-MAX(Interpolation!$J77*C76,0%)</f>
        <v>2.6505249999999987E-2</v>
      </c>
      <c r="P76" s="15">
        <f>D76-MAX(Interpolation!$J77*D76,0%)</f>
        <v>1.2225985714285709E-2</v>
      </c>
      <c r="Q76" s="15">
        <f>E76-MAX(Interpolation!$J77*E76,0%)</f>
        <v>2.5459092857142845E-2</v>
      </c>
      <c r="R76" s="15">
        <f>F76-MAX(Interpolation!$J77*F76,0%)</f>
        <v>2.7863692857142845E-2</v>
      </c>
      <c r="S76" s="15">
        <f>G76-MAX(Interpolation!$J77*G76,0%)</f>
        <v>1.2827135714285709E-2</v>
      </c>
    </row>
    <row r="77" spans="1:19" x14ac:dyDescent="0.25">
      <c r="A77" s="1">
        <v>76</v>
      </c>
      <c r="B77" s="3">
        <v>3.2590000000000001E-2</v>
      </c>
      <c r="C77" s="3">
        <v>3.4029999999999998E-2</v>
      </c>
      <c r="D77" s="3">
        <v>1.5720000000000001E-2</v>
      </c>
      <c r="E77" s="3">
        <v>3.2730000000000002E-2</v>
      </c>
      <c r="F77" s="3">
        <v>3.5749999999999997E-2</v>
      </c>
      <c r="G77" s="3">
        <v>1.6480000000000002E-2</v>
      </c>
      <c r="H77" s="15">
        <f>B77+MAX(Interpolation!$I78*B77,1%)</f>
        <v>4.2590000000000003E-2</v>
      </c>
      <c r="I77" s="15">
        <f>C77+MAX(Interpolation!$I78*C77,1%)</f>
        <v>4.403E-2</v>
      </c>
      <c r="J77" s="15">
        <f>D77+MAX(Interpolation!$I78*D77,1%)</f>
        <v>2.572E-2</v>
      </c>
      <c r="K77" s="15">
        <f>E77+MAX(Interpolation!$I78*E77,1%)</f>
        <v>4.2730000000000004E-2</v>
      </c>
      <c r="L77" s="15">
        <f>F77+MAX(Interpolation!$I78*F77,1%)</f>
        <v>4.5749999999999999E-2</v>
      </c>
      <c r="M77" s="15">
        <f>G77+MAX(Interpolation!$I78*G77,1%)</f>
        <v>2.6480000000000004E-2</v>
      </c>
      <c r="N77" s="15">
        <f>B77-MAX(Interpolation!$J78*B77,0%)</f>
        <v>2.5485379999999988E-2</v>
      </c>
      <c r="O77" s="15">
        <f>C77-MAX(Interpolation!$J78*C77,0%)</f>
        <v>2.6611459999999986E-2</v>
      </c>
      <c r="P77" s="15">
        <f>D77-MAX(Interpolation!$J78*D77,0%)</f>
        <v>1.2293039999999995E-2</v>
      </c>
      <c r="Q77" s="15">
        <f>E77-MAX(Interpolation!$J78*E77,0%)</f>
        <v>2.559485999999999E-2</v>
      </c>
      <c r="R77" s="15">
        <f>F77-MAX(Interpolation!$J78*F77,0%)</f>
        <v>2.7956499999999985E-2</v>
      </c>
      <c r="S77" s="15">
        <f>G77-MAX(Interpolation!$J78*G77,0%)</f>
        <v>1.2887359999999995E-2</v>
      </c>
    </row>
    <row r="78" spans="1:19" x14ac:dyDescent="0.25">
      <c r="A78" s="1">
        <v>77</v>
      </c>
      <c r="B78" s="3">
        <v>3.2710000000000003E-2</v>
      </c>
      <c r="C78" s="3">
        <v>3.4119999999999998E-2</v>
      </c>
      <c r="D78" s="3">
        <v>1.5779999999999999E-2</v>
      </c>
      <c r="E78" s="3">
        <v>3.2849999999999997E-2</v>
      </c>
      <c r="F78" s="3">
        <v>3.5819999999999998E-2</v>
      </c>
      <c r="G78" s="3">
        <v>1.653E-2</v>
      </c>
      <c r="H78" s="15">
        <f>B78+MAX(Interpolation!$I79*B78,1%)</f>
        <v>4.2710000000000005E-2</v>
      </c>
      <c r="I78" s="15">
        <f>C78+MAX(Interpolation!$I79*C78,1%)</f>
        <v>4.4119999999999999E-2</v>
      </c>
      <c r="J78" s="15">
        <f>D78+MAX(Interpolation!$I79*D78,1%)</f>
        <v>2.5779999999999997E-2</v>
      </c>
      <c r="K78" s="15">
        <f>E78+MAX(Interpolation!$I79*E78,1%)</f>
        <v>4.2849999999999999E-2</v>
      </c>
      <c r="L78" s="15">
        <f>F78+MAX(Interpolation!$I79*F78,1%)</f>
        <v>4.582E-2</v>
      </c>
      <c r="M78" s="15">
        <f>G78+MAX(Interpolation!$I79*G78,1%)</f>
        <v>2.6529999999999998E-2</v>
      </c>
      <c r="N78" s="15">
        <f>B78-MAX(Interpolation!$J79*B78,0%)</f>
        <v>2.5621275714285706E-2</v>
      </c>
      <c r="O78" s="15">
        <f>C78-MAX(Interpolation!$J79*C78,0%)</f>
        <v>2.6725708571428558E-2</v>
      </c>
      <c r="P78" s="15">
        <f>D78-MAX(Interpolation!$J79*D78,0%)</f>
        <v>1.2360248571428565E-2</v>
      </c>
      <c r="Q78" s="15">
        <f>E78-MAX(Interpolation!$J79*E78,0%)</f>
        <v>2.57309357142857E-2</v>
      </c>
      <c r="R78" s="15">
        <f>F78-MAX(Interpolation!$J79*F78,0%)</f>
        <v>2.8057294285714272E-2</v>
      </c>
      <c r="S78" s="15">
        <f>G78-MAX(Interpolation!$J79*G78,0%)</f>
        <v>1.294771285714285E-2</v>
      </c>
    </row>
    <row r="79" spans="1:19" x14ac:dyDescent="0.25">
      <c r="A79" s="1">
        <v>78</v>
      </c>
      <c r="B79" s="3">
        <v>3.2829999999999998E-2</v>
      </c>
      <c r="C79" s="3">
        <v>3.4200000000000001E-2</v>
      </c>
      <c r="D79" s="3">
        <v>1.584E-2</v>
      </c>
      <c r="E79" s="3">
        <v>3.2960000000000003E-2</v>
      </c>
      <c r="F79" s="3">
        <v>3.5880000000000002E-2</v>
      </c>
      <c r="G79" s="3">
        <v>1.6580000000000001E-2</v>
      </c>
      <c r="H79" s="15">
        <f>B79+MAX(Interpolation!$I80*B79,1%)</f>
        <v>4.283E-2</v>
      </c>
      <c r="I79" s="15">
        <f>C79+MAX(Interpolation!$I80*C79,1%)</f>
        <v>4.4200000000000003E-2</v>
      </c>
      <c r="J79" s="15">
        <f>D79+MAX(Interpolation!$I80*D79,1%)</f>
        <v>2.5840000000000002E-2</v>
      </c>
      <c r="K79" s="15">
        <f>E79+MAX(Interpolation!$I80*E79,1%)</f>
        <v>4.2960000000000005E-2</v>
      </c>
      <c r="L79" s="15">
        <f>F79+MAX(Interpolation!$I80*F79,1%)</f>
        <v>4.5880000000000004E-2</v>
      </c>
      <c r="M79" s="15">
        <f>G79+MAX(Interpolation!$I80*G79,1%)</f>
        <v>2.6579999999999999E-2</v>
      </c>
      <c r="N79" s="15">
        <f>B79-MAX(Interpolation!$J80*B79,0%)</f>
        <v>2.5757479999999985E-2</v>
      </c>
      <c r="O79" s="15">
        <f>C79-MAX(Interpolation!$J80*C79,0%)</f>
        <v>2.6832342857142845E-2</v>
      </c>
      <c r="P79" s="15">
        <f>D79-MAX(Interpolation!$J80*D79,0%)</f>
        <v>1.2427611428571423E-2</v>
      </c>
      <c r="Q79" s="15">
        <f>E79-MAX(Interpolation!$J80*E79,0%)</f>
        <v>2.5859474285714276E-2</v>
      </c>
      <c r="R79" s="15">
        <f>F79-MAX(Interpolation!$J80*F79,0%)</f>
        <v>2.8150422857142844E-2</v>
      </c>
      <c r="S79" s="15">
        <f>G79-MAX(Interpolation!$J80*G79,0%)</f>
        <v>1.3008194285714279E-2</v>
      </c>
    </row>
    <row r="80" spans="1:19" x14ac:dyDescent="0.25">
      <c r="A80" s="1">
        <v>79</v>
      </c>
      <c r="B80" s="3">
        <v>3.295E-2</v>
      </c>
      <c r="C80" s="3">
        <v>3.4279999999999998E-2</v>
      </c>
      <c r="D80" s="3">
        <v>1.5900000000000001E-2</v>
      </c>
      <c r="E80" s="3">
        <v>3.3079999999999998E-2</v>
      </c>
      <c r="F80" s="3">
        <v>3.5929999999999997E-2</v>
      </c>
      <c r="G80" s="3">
        <v>1.6629999999999999E-2</v>
      </c>
      <c r="H80" s="15">
        <f>B80+MAX(Interpolation!$I81*B80,1%)</f>
        <v>4.2950000000000002E-2</v>
      </c>
      <c r="I80" s="15">
        <f>C80+MAX(Interpolation!$I81*C80,1%)</f>
        <v>4.428E-2</v>
      </c>
      <c r="J80" s="15">
        <f>D80+MAX(Interpolation!$I81*D80,1%)</f>
        <v>2.5899999999999999E-2</v>
      </c>
      <c r="K80" s="15">
        <f>E80+MAX(Interpolation!$I81*E80,1%)</f>
        <v>4.308E-2</v>
      </c>
      <c r="L80" s="15">
        <f>F80+MAX(Interpolation!$I81*F80,1%)</f>
        <v>4.5929999999999999E-2</v>
      </c>
      <c r="M80" s="15">
        <f>G80+MAX(Interpolation!$I81*G80,1%)</f>
        <v>2.6630000000000001E-2</v>
      </c>
      <c r="N80" s="15">
        <f>B80-MAX(Interpolation!$J81*B80,0%)</f>
        <v>2.5893992857142844E-2</v>
      </c>
      <c r="O80" s="15">
        <f>C80-MAX(Interpolation!$J81*C80,0%)</f>
        <v>2.6939182857142842E-2</v>
      </c>
      <c r="P80" s="15">
        <f>D80-MAX(Interpolation!$J81*D80,0%)</f>
        <v>1.2495128571428565E-2</v>
      </c>
      <c r="Q80" s="15">
        <f>E80-MAX(Interpolation!$J81*E80,0%)</f>
        <v>2.5996154285714272E-2</v>
      </c>
      <c r="R80" s="15">
        <f>F80-MAX(Interpolation!$J81*F80,0%)</f>
        <v>2.8235847142857127E-2</v>
      </c>
      <c r="S80" s="15">
        <f>G80-MAX(Interpolation!$J81*G80,0%)</f>
        <v>1.3068804285714278E-2</v>
      </c>
    </row>
    <row r="81" spans="1:19" x14ac:dyDescent="0.25">
      <c r="A81" s="2">
        <v>80</v>
      </c>
      <c r="B81" s="4">
        <v>3.3059999999999999E-2</v>
      </c>
      <c r="C81" s="4">
        <v>3.4360000000000002E-2</v>
      </c>
      <c r="D81" s="4">
        <v>1.5949999999999999E-2</v>
      </c>
      <c r="E81" s="4">
        <v>3.3189999999999997E-2</v>
      </c>
      <c r="F81" s="4">
        <v>3.5990000000000001E-2</v>
      </c>
      <c r="G81" s="4">
        <v>1.668E-2</v>
      </c>
      <c r="H81" s="15">
        <f>B81+MAX(Interpolation!$I82*B81,1%)</f>
        <v>4.3060000000000001E-2</v>
      </c>
      <c r="I81" s="15">
        <f>C81+MAX(Interpolation!$I82*C81,1%)</f>
        <v>4.4360000000000004E-2</v>
      </c>
      <c r="J81" s="15">
        <f>D81+MAX(Interpolation!$I82*D81,1%)</f>
        <v>2.5950000000000001E-2</v>
      </c>
      <c r="K81" s="15">
        <f>E81+MAX(Interpolation!$I82*E81,1%)</f>
        <v>4.3189999999999999E-2</v>
      </c>
      <c r="L81" s="15">
        <f>F81+MAX(Interpolation!$I82*F81,1%)</f>
        <v>4.5990000000000003E-2</v>
      </c>
      <c r="M81" s="15">
        <f>G81+MAX(Interpolation!$I82*G81,1%)</f>
        <v>2.6680000000000002E-2</v>
      </c>
      <c r="N81" s="15">
        <f>B81-MAX(Interpolation!$J82*B81,0%)</f>
        <v>2.6022942857142843E-2</v>
      </c>
      <c r="O81" s="15">
        <f>C81-MAX(Interpolation!$J82*C81,0%)</f>
        <v>2.7046228571428559E-2</v>
      </c>
      <c r="P81" s="15">
        <f>D81-MAX(Interpolation!$J82*D81,0%)</f>
        <v>1.2554928571428564E-2</v>
      </c>
      <c r="Q81" s="15">
        <f>E81-MAX(Interpolation!$J82*E81,0%)</f>
        <v>2.6125271428571413E-2</v>
      </c>
      <c r="R81" s="15">
        <f>F81-MAX(Interpolation!$J82*F81,0%)</f>
        <v>2.8329271428571418E-2</v>
      </c>
      <c r="S81" s="15">
        <f>G81-MAX(Interpolation!$J82*G81,0%)</f>
        <v>1.3129542857142851E-2</v>
      </c>
    </row>
    <row r="82" spans="1:19" x14ac:dyDescent="0.25">
      <c r="A82" s="1">
        <v>81</v>
      </c>
      <c r="B82" s="3">
        <v>3.3169999999999998E-2</v>
      </c>
      <c r="C82" s="3">
        <v>3.4430000000000002E-2</v>
      </c>
      <c r="D82" s="3">
        <v>1.601E-2</v>
      </c>
      <c r="E82" s="3">
        <v>3.3300000000000003E-2</v>
      </c>
      <c r="F82" s="3">
        <v>3.6049999999999999E-2</v>
      </c>
      <c r="G82" s="3">
        <v>1.6719999999999999E-2</v>
      </c>
      <c r="H82" s="15">
        <f>B82+MAX(Interpolation!$I83*B82,1%)</f>
        <v>4.317E-2</v>
      </c>
      <c r="I82" s="15">
        <f>C82+MAX(Interpolation!$I83*C82,1%)</f>
        <v>4.4430000000000004E-2</v>
      </c>
      <c r="J82" s="15">
        <f>D82+MAX(Interpolation!$I83*D82,1%)</f>
        <v>2.6009999999999998E-2</v>
      </c>
      <c r="K82" s="15">
        <f>E82+MAX(Interpolation!$I83*E82,1%)</f>
        <v>4.3300000000000005E-2</v>
      </c>
      <c r="L82" s="15">
        <f>F82+MAX(Interpolation!$I83*F82,1%)</f>
        <v>4.6050000000000001E-2</v>
      </c>
      <c r="M82" s="15">
        <f>G82+MAX(Interpolation!$I83*G82,1%)</f>
        <v>2.6720000000000001E-2</v>
      </c>
      <c r="N82" s="15">
        <f>B82-MAX(Interpolation!$J83*B82,0%)</f>
        <v>2.61521757142857E-2</v>
      </c>
      <c r="O82" s="15">
        <f>C82-MAX(Interpolation!$J83*C82,0%)</f>
        <v>2.7145595714285702E-2</v>
      </c>
      <c r="P82" s="15">
        <f>D82-MAX(Interpolation!$J83*D82,0%)</f>
        <v>1.2622741428571421E-2</v>
      </c>
      <c r="Q82" s="15">
        <f>E82-MAX(Interpolation!$J83*E82,0%)</f>
        <v>2.6254671428571418E-2</v>
      </c>
      <c r="R82" s="15">
        <f>F82-MAX(Interpolation!$J83*F82,0%)</f>
        <v>2.8422849999999986E-2</v>
      </c>
      <c r="S82" s="15">
        <f>G82-MAX(Interpolation!$J83*G82,0%)</f>
        <v>1.3182525714285707E-2</v>
      </c>
    </row>
    <row r="83" spans="1:19" x14ac:dyDescent="0.25">
      <c r="A83" s="1">
        <v>82</v>
      </c>
      <c r="B83" s="3">
        <v>3.3279999999999997E-2</v>
      </c>
      <c r="C83" s="3">
        <v>3.4509999999999999E-2</v>
      </c>
      <c r="D83" s="3">
        <v>1.6060000000000001E-2</v>
      </c>
      <c r="E83" s="3">
        <v>3.3399999999999999E-2</v>
      </c>
      <c r="F83" s="3">
        <v>3.61E-2</v>
      </c>
      <c r="G83" s="3">
        <v>1.677E-2</v>
      </c>
      <c r="H83" s="15">
        <f>B83+MAX(Interpolation!$I84*B83,1%)</f>
        <v>4.3279999999999999E-2</v>
      </c>
      <c r="I83" s="15">
        <f>C83+MAX(Interpolation!$I84*C83,1%)</f>
        <v>4.4510000000000001E-2</v>
      </c>
      <c r="J83" s="15">
        <f>D83+MAX(Interpolation!$I84*D83,1%)</f>
        <v>2.606E-2</v>
      </c>
      <c r="K83" s="15">
        <f>E83+MAX(Interpolation!$I84*E83,1%)</f>
        <v>4.3400000000000001E-2</v>
      </c>
      <c r="L83" s="15">
        <f>F83+MAX(Interpolation!$I84*F83,1%)</f>
        <v>4.6100000000000002E-2</v>
      </c>
      <c r="M83" s="15">
        <f>G83+MAX(Interpolation!$I84*G83,1%)</f>
        <v>2.6770000000000002E-2</v>
      </c>
      <c r="N83" s="15">
        <f>B83-MAX(Interpolation!$J84*B83,0%)</f>
        <v>2.6281691428571414E-2</v>
      </c>
      <c r="O83" s="15">
        <f>C83-MAX(Interpolation!$J84*C83,0%)</f>
        <v>2.7253039999999985E-2</v>
      </c>
      <c r="P83" s="15">
        <f>D83-MAX(Interpolation!$J84*D83,0%)</f>
        <v>1.2682811428571424E-2</v>
      </c>
      <c r="Q83" s="15">
        <f>E83-MAX(Interpolation!$J84*E83,0%)</f>
        <v>2.6376457142857128E-2</v>
      </c>
      <c r="R83" s="15">
        <f>F83-MAX(Interpolation!$J84*F83,0%)</f>
        <v>2.8508685714285699E-2</v>
      </c>
      <c r="S83" s="15">
        <f>G83-MAX(Interpolation!$J84*G83,0%)</f>
        <v>1.3243508571428565E-2</v>
      </c>
    </row>
    <row r="84" spans="1:19" x14ac:dyDescent="0.25">
      <c r="A84" s="1">
        <v>83</v>
      </c>
      <c r="B84" s="3">
        <v>3.338E-2</v>
      </c>
      <c r="C84" s="3">
        <v>3.458E-2</v>
      </c>
      <c r="D84" s="3">
        <v>1.6109999999999999E-2</v>
      </c>
      <c r="E84" s="3">
        <v>3.3509999999999998E-2</v>
      </c>
      <c r="F84" s="3">
        <v>3.6150000000000002E-2</v>
      </c>
      <c r="G84" s="3">
        <v>1.6809999999999999E-2</v>
      </c>
      <c r="H84" s="15">
        <f>B84+MAX(Interpolation!$I85*B84,1%)</f>
        <v>4.3380000000000002E-2</v>
      </c>
      <c r="I84" s="15">
        <f>C84+MAX(Interpolation!$I85*C84,1%)</f>
        <v>4.4580000000000002E-2</v>
      </c>
      <c r="J84" s="15">
        <f>D84+MAX(Interpolation!$I85*D84,1%)</f>
        <v>2.6110000000000001E-2</v>
      </c>
      <c r="K84" s="15">
        <f>E84+MAX(Interpolation!$I85*E84,1%)</f>
        <v>4.351E-2</v>
      </c>
      <c r="L84" s="15">
        <f>F84+MAX(Interpolation!$I85*F84,1%)</f>
        <v>4.6150000000000004E-2</v>
      </c>
      <c r="M84" s="15">
        <f>G84+MAX(Interpolation!$I85*G84,1%)</f>
        <v>2.681E-2</v>
      </c>
      <c r="N84" s="15">
        <f>B84-MAX(Interpolation!$J85*B84,0%)</f>
        <v>2.6403579999999986E-2</v>
      </c>
      <c r="O84" s="15">
        <f>C84-MAX(Interpolation!$J85*C84,0%)</f>
        <v>2.7352779999999986E-2</v>
      </c>
      <c r="P84" s="15">
        <f>D84-MAX(Interpolation!$J85*D84,0%)</f>
        <v>1.2743009999999992E-2</v>
      </c>
      <c r="Q84" s="15">
        <f>E84-MAX(Interpolation!$J85*E84,0%)</f>
        <v>2.6506409999999984E-2</v>
      </c>
      <c r="R84" s="15">
        <f>F84-MAX(Interpolation!$J85*F84,0%)</f>
        <v>2.8594649999999985E-2</v>
      </c>
      <c r="S84" s="15">
        <f>G84-MAX(Interpolation!$J85*G84,0%)</f>
        <v>1.3296709999999993E-2</v>
      </c>
    </row>
    <row r="85" spans="1:19" x14ac:dyDescent="0.25">
      <c r="A85" s="1">
        <v>84</v>
      </c>
      <c r="B85" s="3">
        <v>3.3480000000000003E-2</v>
      </c>
      <c r="C85" s="3">
        <v>3.465E-2</v>
      </c>
      <c r="D85" s="3">
        <v>1.6160000000000001E-2</v>
      </c>
      <c r="E85" s="3">
        <v>3.3610000000000001E-2</v>
      </c>
      <c r="F85" s="3">
        <v>3.6200000000000003E-2</v>
      </c>
      <c r="G85" s="3">
        <v>1.685E-2</v>
      </c>
      <c r="H85" s="15">
        <f>B85+MAX(Interpolation!$I86*B85,1%)</f>
        <v>4.3480000000000005E-2</v>
      </c>
      <c r="I85" s="15">
        <f>C85+MAX(Interpolation!$I86*C85,1%)</f>
        <v>4.4650000000000002E-2</v>
      </c>
      <c r="J85" s="15">
        <f>D85+MAX(Interpolation!$I86*D85,1%)</f>
        <v>2.6160000000000003E-2</v>
      </c>
      <c r="K85" s="15">
        <f>E85+MAX(Interpolation!$I86*E85,1%)</f>
        <v>4.3610000000000003E-2</v>
      </c>
      <c r="L85" s="15">
        <f>F85+MAX(Interpolation!$I86*F85,1%)</f>
        <v>4.6200000000000005E-2</v>
      </c>
      <c r="M85" s="15">
        <f>G85+MAX(Interpolation!$I86*G85,1%)</f>
        <v>2.6849999999999999E-2</v>
      </c>
      <c r="N85" s="15">
        <f>B85-MAX(Interpolation!$J86*B85,0%)</f>
        <v>2.6525725714285703E-2</v>
      </c>
      <c r="O85" s="15">
        <f>C85-MAX(Interpolation!$J86*C85,0%)</f>
        <v>2.7452699999999986E-2</v>
      </c>
      <c r="P85" s="15">
        <f>D85-MAX(Interpolation!$J86*D85,0%)</f>
        <v>1.2803337142857137E-2</v>
      </c>
      <c r="Q85" s="15">
        <f>E85-MAX(Interpolation!$J86*E85,0%)</f>
        <v>2.6628722857142843E-2</v>
      </c>
      <c r="R85" s="15">
        <f>F85-MAX(Interpolation!$J86*F85,0%)</f>
        <v>2.8680742857142845E-2</v>
      </c>
      <c r="S85" s="15">
        <f>G85-MAX(Interpolation!$J86*G85,0%)</f>
        <v>1.3350014285714279E-2</v>
      </c>
    </row>
    <row r="86" spans="1:19" x14ac:dyDescent="0.25">
      <c r="A86" s="2">
        <v>85</v>
      </c>
      <c r="B86" s="4">
        <v>3.3579999999999999E-2</v>
      </c>
      <c r="C86" s="4">
        <v>3.4720000000000001E-2</v>
      </c>
      <c r="D86" s="4">
        <v>1.6209999999999999E-2</v>
      </c>
      <c r="E86" s="4">
        <v>3.3700000000000001E-2</v>
      </c>
      <c r="F86" s="4">
        <v>3.6249999999999998E-2</v>
      </c>
      <c r="G86" s="4">
        <v>1.6889999999999999E-2</v>
      </c>
      <c r="H86" s="15">
        <f>B86+MAX(Interpolation!$I87*B86,1%)</f>
        <v>4.3580000000000001E-2</v>
      </c>
      <c r="I86" s="15">
        <f>C86+MAX(Interpolation!$I87*C86,1%)</f>
        <v>4.4720000000000003E-2</v>
      </c>
      <c r="J86" s="15">
        <f>D86+MAX(Interpolation!$I87*D86,1%)</f>
        <v>2.6209999999999997E-2</v>
      </c>
      <c r="K86" s="15">
        <f>E86+MAX(Interpolation!$I87*E86,1%)</f>
        <v>4.3700000000000003E-2</v>
      </c>
      <c r="L86" s="15">
        <f>F86+MAX(Interpolation!$I87*F86,1%)</f>
        <v>4.6249999999999999E-2</v>
      </c>
      <c r="M86" s="15">
        <f>G86+MAX(Interpolation!$I87*G86,1%)</f>
        <v>2.6889999999999997E-2</v>
      </c>
      <c r="N86" s="15">
        <f>B86-MAX(Interpolation!$J87*B86,0%)</f>
        <v>2.6648128571428557E-2</v>
      </c>
      <c r="O86" s="15">
        <f>C86-MAX(Interpolation!$J87*C86,0%)</f>
        <v>2.7552799999999985E-2</v>
      </c>
      <c r="P86" s="15">
        <f>D86-MAX(Interpolation!$J87*D86,0%)</f>
        <v>1.2863792857142849E-2</v>
      </c>
      <c r="Q86" s="15">
        <f>E86-MAX(Interpolation!$J87*E86,0%)</f>
        <v>2.6743357142857131E-2</v>
      </c>
      <c r="R86" s="15">
        <f>F86-MAX(Interpolation!$J87*F86,0%)</f>
        <v>2.8766964285714267E-2</v>
      </c>
      <c r="S86" s="15">
        <f>G86-MAX(Interpolation!$J87*G86,0%)</f>
        <v>1.340342142857142E-2</v>
      </c>
    </row>
    <row r="87" spans="1:19" x14ac:dyDescent="0.25">
      <c r="A87" s="1">
        <v>86</v>
      </c>
      <c r="B87" s="3">
        <v>3.3680000000000002E-2</v>
      </c>
      <c r="C87" s="3">
        <v>3.4779999999999998E-2</v>
      </c>
      <c r="D87" s="3">
        <v>1.626E-2</v>
      </c>
      <c r="E87" s="3">
        <v>3.3799999999999997E-2</v>
      </c>
      <c r="F87" s="3">
        <v>3.6299999999999999E-2</v>
      </c>
      <c r="G87" s="3">
        <v>1.6930000000000001E-2</v>
      </c>
      <c r="H87" s="15">
        <f>B87+MAX(Interpolation!$I88*B87,1%)</f>
        <v>4.3680000000000004E-2</v>
      </c>
      <c r="I87" s="15">
        <f>C87+MAX(Interpolation!$I88*C87,1%)</f>
        <v>4.478E-2</v>
      </c>
      <c r="J87" s="15">
        <f>D87+MAX(Interpolation!$I88*D87,1%)</f>
        <v>2.6259999999999999E-2</v>
      </c>
      <c r="K87" s="15">
        <f>E87+MAX(Interpolation!$I88*E87,1%)</f>
        <v>4.3799999999999999E-2</v>
      </c>
      <c r="L87" s="15">
        <f>F87+MAX(Interpolation!$I88*F87,1%)</f>
        <v>4.6300000000000001E-2</v>
      </c>
      <c r="M87" s="15">
        <f>G87+MAX(Interpolation!$I88*G87,1%)</f>
        <v>2.6930000000000003E-2</v>
      </c>
      <c r="N87" s="15">
        <f>B87-MAX(Interpolation!$J88*B87,0%)</f>
        <v>2.6770788571428557E-2</v>
      </c>
      <c r="O87" s="15">
        <f>C87-MAX(Interpolation!$J88*C87,0%)</f>
        <v>2.7645131428571411E-2</v>
      </c>
      <c r="P87" s="15">
        <f>D87-MAX(Interpolation!$J88*D87,0%)</f>
        <v>1.2924377142857137E-2</v>
      </c>
      <c r="Q87" s="15">
        <f>E87-MAX(Interpolation!$J88*E87,0%)</f>
        <v>2.6866171428571412E-2</v>
      </c>
      <c r="R87" s="15">
        <f>F87-MAX(Interpolation!$J88*F87,0%)</f>
        <v>2.885331428571427E-2</v>
      </c>
      <c r="S87" s="15">
        <f>G87-MAX(Interpolation!$J88*G87,0%)</f>
        <v>1.3456931428571422E-2</v>
      </c>
    </row>
    <row r="88" spans="1:19" x14ac:dyDescent="0.25">
      <c r="A88" s="1">
        <v>87</v>
      </c>
      <c r="B88" s="3">
        <v>3.3779999999999998E-2</v>
      </c>
      <c r="C88" s="3">
        <v>3.4849999999999999E-2</v>
      </c>
      <c r="D88" s="3">
        <v>1.6310000000000002E-2</v>
      </c>
      <c r="E88" s="3">
        <v>3.3890000000000003E-2</v>
      </c>
      <c r="F88" s="3">
        <v>3.635E-2</v>
      </c>
      <c r="G88" s="3">
        <v>1.6969999999999999E-2</v>
      </c>
      <c r="H88" s="15">
        <f>B88+MAX(Interpolation!$I89*B88,1%)</f>
        <v>4.3779999999999999E-2</v>
      </c>
      <c r="I88" s="15">
        <f>C88+MAX(Interpolation!$I89*C88,1%)</f>
        <v>4.4850000000000001E-2</v>
      </c>
      <c r="J88" s="15">
        <f>D88+MAX(Interpolation!$I89*D88,1%)</f>
        <v>2.631E-2</v>
      </c>
      <c r="K88" s="15">
        <f>E88+MAX(Interpolation!$I89*E88,1%)</f>
        <v>4.3890000000000005E-2</v>
      </c>
      <c r="L88" s="15">
        <f>F88+MAX(Interpolation!$I89*F88,1%)</f>
        <v>4.6350000000000002E-2</v>
      </c>
      <c r="M88" s="15">
        <f>G88+MAX(Interpolation!$I89*G88,1%)</f>
        <v>2.6970000000000001E-2</v>
      </c>
      <c r="N88" s="15">
        <f>B88-MAX(Interpolation!$J89*B88,0%)</f>
        <v>2.6893705714285697E-2</v>
      </c>
      <c r="O88" s="15">
        <f>C88-MAX(Interpolation!$J89*C88,0%)</f>
        <v>2.7745578571428557E-2</v>
      </c>
      <c r="P88" s="15">
        <f>D88-MAX(Interpolation!$J89*D88,0%)</f>
        <v>1.2985089999999994E-2</v>
      </c>
      <c r="Q88" s="15">
        <f>E88-MAX(Interpolation!$J89*E88,0%)</f>
        <v>2.6981281428571417E-2</v>
      </c>
      <c r="R88" s="15">
        <f>F88-MAX(Interpolation!$J89*F88,0%)</f>
        <v>2.8939792857142842E-2</v>
      </c>
      <c r="S88" s="15">
        <f>G88-MAX(Interpolation!$J89*G88,0%)</f>
        <v>1.3510544285714278E-2</v>
      </c>
    </row>
    <row r="89" spans="1:19" x14ac:dyDescent="0.25">
      <c r="A89" s="1">
        <v>88</v>
      </c>
      <c r="B89" s="3">
        <v>3.3869999999999997E-2</v>
      </c>
      <c r="C89" s="3">
        <v>3.4909999999999997E-2</v>
      </c>
      <c r="D89" s="3">
        <v>1.636E-2</v>
      </c>
      <c r="E89" s="3">
        <v>3.3989999999999999E-2</v>
      </c>
      <c r="F89" s="3">
        <v>3.6400000000000002E-2</v>
      </c>
      <c r="G89" s="3">
        <v>1.7010000000000001E-2</v>
      </c>
      <c r="H89" s="15">
        <f>B89+MAX(Interpolation!$I90*B89,1%)</f>
        <v>4.3869999999999999E-2</v>
      </c>
      <c r="I89" s="15">
        <f>C89+MAX(Interpolation!$I90*C89,1%)</f>
        <v>4.4909999999999999E-2</v>
      </c>
      <c r="J89" s="15">
        <f>D89+MAX(Interpolation!$I90*D89,1%)</f>
        <v>2.6360000000000001E-2</v>
      </c>
      <c r="K89" s="15">
        <f>E89+MAX(Interpolation!$I90*E89,1%)</f>
        <v>4.3990000000000001E-2</v>
      </c>
      <c r="L89" s="15">
        <f>F89+MAX(Interpolation!$I90*F89,1%)</f>
        <v>4.6400000000000004E-2</v>
      </c>
      <c r="M89" s="15">
        <f>G89+MAX(Interpolation!$I90*G89,1%)</f>
        <v>2.7009999999999999E-2</v>
      </c>
      <c r="N89" s="15">
        <f>B89-MAX(Interpolation!$J90*B89,0%)</f>
        <v>2.7008905714285696E-2</v>
      </c>
      <c r="O89" s="15">
        <f>C89-MAX(Interpolation!$J90*C89,0%)</f>
        <v>2.7838231428571412E-2</v>
      </c>
      <c r="P89" s="15">
        <f>D89-MAX(Interpolation!$J90*D89,0%)</f>
        <v>1.3045931428571422E-2</v>
      </c>
      <c r="Q89" s="15">
        <f>E89-MAX(Interpolation!$J90*E89,0%)</f>
        <v>2.7104597142857127E-2</v>
      </c>
      <c r="R89" s="15">
        <f>F89-MAX(Interpolation!$J90*F89,0%)</f>
        <v>2.9026399999999987E-2</v>
      </c>
      <c r="S89" s="15">
        <f>G89-MAX(Interpolation!$J90*G89,0%)</f>
        <v>1.3564259999999993E-2</v>
      </c>
    </row>
    <row r="90" spans="1:19" x14ac:dyDescent="0.25">
      <c r="A90" s="1">
        <v>89</v>
      </c>
      <c r="B90" s="3">
        <v>3.3959999999999997E-2</v>
      </c>
      <c r="C90" s="3">
        <v>3.4979999999999997E-2</v>
      </c>
      <c r="D90" s="3">
        <v>1.6400000000000001E-2</v>
      </c>
      <c r="E90" s="3">
        <v>3.4079999999999999E-2</v>
      </c>
      <c r="F90" s="3">
        <v>3.644E-2</v>
      </c>
      <c r="G90" s="3">
        <v>1.7049999999999999E-2</v>
      </c>
      <c r="H90" s="15">
        <f>B90+MAX(Interpolation!$I91*B90,1%)</f>
        <v>4.3959999999999999E-2</v>
      </c>
      <c r="I90" s="15">
        <f>C90+MAX(Interpolation!$I91*C90,1%)</f>
        <v>4.4979999999999999E-2</v>
      </c>
      <c r="J90" s="15">
        <f>D90+MAX(Interpolation!$I91*D90,1%)</f>
        <v>2.64E-2</v>
      </c>
      <c r="K90" s="15">
        <f>E90+MAX(Interpolation!$I91*E90,1%)</f>
        <v>4.4080000000000001E-2</v>
      </c>
      <c r="L90" s="15">
        <f>F90+MAX(Interpolation!$I91*F90,1%)</f>
        <v>4.6440000000000002E-2</v>
      </c>
      <c r="M90" s="15">
        <f>G90+MAX(Interpolation!$I91*G90,1%)</f>
        <v>2.7049999999999998E-2</v>
      </c>
      <c r="N90" s="15">
        <f>B90-MAX(Interpolation!$J91*B90,0%)</f>
        <v>2.7124337142857127E-2</v>
      </c>
      <c r="O90" s="15">
        <f>C90-MAX(Interpolation!$J91*C90,0%)</f>
        <v>2.7939025714285696E-2</v>
      </c>
      <c r="P90" s="15">
        <f>D90-MAX(Interpolation!$J91*D90,0%)</f>
        <v>1.309891428571428E-2</v>
      </c>
      <c r="Q90" s="15">
        <f>E90-MAX(Interpolation!$J91*E90,0%)</f>
        <v>2.7220182857142842E-2</v>
      </c>
      <c r="R90" s="15">
        <f>F90-MAX(Interpolation!$J91*F90,0%)</f>
        <v>2.9105148571428555E-2</v>
      </c>
      <c r="S90" s="15">
        <f>G90-MAX(Interpolation!$J91*G90,0%)</f>
        <v>1.3618078571428563E-2</v>
      </c>
    </row>
    <row r="91" spans="1:19" x14ac:dyDescent="0.25">
      <c r="A91" s="2">
        <v>90</v>
      </c>
      <c r="B91" s="4">
        <v>3.4049999999999997E-2</v>
      </c>
      <c r="C91" s="4">
        <v>3.5040000000000002E-2</v>
      </c>
      <c r="D91" s="4">
        <v>1.6449999999999999E-2</v>
      </c>
      <c r="E91" s="4">
        <v>3.4160000000000003E-2</v>
      </c>
      <c r="F91" s="4">
        <v>3.6490000000000002E-2</v>
      </c>
      <c r="G91" s="4">
        <v>1.7090000000000001E-2</v>
      </c>
      <c r="H91" s="15">
        <f>B91+MAX(Interpolation!$I92*B91,1%)</f>
        <v>4.4049999999999999E-2</v>
      </c>
      <c r="I91" s="15">
        <f>C91+MAX(Interpolation!$I92*C91,1%)</f>
        <v>4.5040000000000004E-2</v>
      </c>
      <c r="J91" s="15">
        <f>D91+MAX(Interpolation!$I92*D91,1%)</f>
        <v>2.6450000000000001E-2</v>
      </c>
      <c r="K91" s="15">
        <f>E91+MAX(Interpolation!$I92*E91,1%)</f>
        <v>4.4160000000000005E-2</v>
      </c>
      <c r="L91" s="15">
        <f>F91+MAX(Interpolation!$I92*F91,1%)</f>
        <v>4.6490000000000004E-2</v>
      </c>
      <c r="M91" s="15">
        <f>G91+MAX(Interpolation!$I92*G91,1%)</f>
        <v>2.7090000000000003E-2</v>
      </c>
      <c r="N91" s="15">
        <f>B91-MAX(Interpolation!$J92*B91,0%)</f>
        <v>2.7239999999999997E-2</v>
      </c>
      <c r="O91" s="15">
        <f>C91-MAX(Interpolation!$J92*C91,0%)</f>
        <v>2.8032000000000001E-2</v>
      </c>
      <c r="P91" s="15">
        <f>D91-MAX(Interpolation!$J92*D91,0%)</f>
        <v>1.316E-2</v>
      </c>
      <c r="Q91" s="15">
        <f>E91-MAX(Interpolation!$J92*E91,0%)</f>
        <v>2.7328000000000002E-2</v>
      </c>
      <c r="R91" s="15">
        <f>F91-MAX(Interpolation!$J92*F91,0%)</f>
        <v>2.9192000000000003E-2</v>
      </c>
      <c r="S91" s="15">
        <f>G91-MAX(Interpolation!$J92*G91,0%)</f>
        <v>1.3672E-2</v>
      </c>
    </row>
    <row r="92" spans="1:19" x14ac:dyDescent="0.25">
      <c r="A92" s="1">
        <v>91</v>
      </c>
      <c r="B92" s="3">
        <v>3.4139999999999997E-2</v>
      </c>
      <c r="C92" s="3">
        <v>3.5099999999999999E-2</v>
      </c>
      <c r="D92" s="3">
        <v>1.6490000000000001E-2</v>
      </c>
      <c r="E92" s="3">
        <v>3.4250000000000003E-2</v>
      </c>
      <c r="F92" s="3">
        <v>3.653E-2</v>
      </c>
      <c r="G92" s="3">
        <v>1.712E-2</v>
      </c>
      <c r="H92" s="15">
        <f>B92+MAX(Interpolation!$I93*B92,1%)</f>
        <v>4.4139999999999999E-2</v>
      </c>
      <c r="I92" s="15">
        <f>C92+MAX(Interpolation!$I93*C92,1%)</f>
        <v>4.5100000000000001E-2</v>
      </c>
      <c r="J92" s="15">
        <f>D92+MAX(Interpolation!$I93*D92,1%)</f>
        <v>2.649E-2</v>
      </c>
      <c r="K92" s="15">
        <f>E92+MAX(Interpolation!$I93*E92,1%)</f>
        <v>4.4250000000000005E-2</v>
      </c>
      <c r="L92" s="15">
        <f>F92+MAX(Interpolation!$I93*F92,1%)</f>
        <v>4.6530000000000002E-2</v>
      </c>
      <c r="M92" s="15">
        <f>G92+MAX(Interpolation!$I93*G92,1%)</f>
        <v>2.7119999999999998E-2</v>
      </c>
      <c r="N92" s="15">
        <f>B92-MAX(Interpolation!$J93*B92,0%)</f>
        <v>2.7311999999999996E-2</v>
      </c>
      <c r="O92" s="15">
        <f>C92-MAX(Interpolation!$J93*C92,0%)</f>
        <v>2.8080000000000001E-2</v>
      </c>
      <c r="P92" s="15">
        <f>D92-MAX(Interpolation!$J93*D92,0%)</f>
        <v>1.3192000000000001E-2</v>
      </c>
      <c r="Q92" s="15">
        <f>E92-MAX(Interpolation!$J93*E92,0%)</f>
        <v>2.7400000000000001E-2</v>
      </c>
      <c r="R92" s="15">
        <f>F92-MAX(Interpolation!$J93*F92,0%)</f>
        <v>2.9224E-2</v>
      </c>
      <c r="S92" s="15">
        <f>G92-MAX(Interpolation!$J93*G92,0%)</f>
        <v>1.3696E-2</v>
      </c>
    </row>
    <row r="93" spans="1:19" x14ac:dyDescent="0.25">
      <c r="A93" s="1">
        <v>92</v>
      </c>
      <c r="B93" s="3">
        <v>3.422E-2</v>
      </c>
      <c r="C93" s="3">
        <v>3.5150000000000001E-2</v>
      </c>
      <c r="D93" s="3">
        <v>1.653E-2</v>
      </c>
      <c r="E93" s="3">
        <v>3.4329999999999999E-2</v>
      </c>
      <c r="F93" s="3">
        <v>3.6580000000000001E-2</v>
      </c>
      <c r="G93" s="3">
        <v>1.7160000000000002E-2</v>
      </c>
      <c r="H93" s="15">
        <f>B93+MAX(Interpolation!$I94*B93,1%)</f>
        <v>4.4220000000000002E-2</v>
      </c>
      <c r="I93" s="15">
        <f>C93+MAX(Interpolation!$I94*C93,1%)</f>
        <v>4.5150000000000003E-2</v>
      </c>
      <c r="J93" s="15">
        <f>D93+MAX(Interpolation!$I94*D93,1%)</f>
        <v>2.6529999999999998E-2</v>
      </c>
      <c r="K93" s="15">
        <f>E93+MAX(Interpolation!$I94*E93,1%)</f>
        <v>4.4330000000000001E-2</v>
      </c>
      <c r="L93" s="15">
        <f>F93+MAX(Interpolation!$I94*F93,1%)</f>
        <v>4.6580000000000003E-2</v>
      </c>
      <c r="M93" s="15">
        <f>G93+MAX(Interpolation!$I94*G93,1%)</f>
        <v>2.7160000000000004E-2</v>
      </c>
      <c r="N93" s="15">
        <f>B93-MAX(Interpolation!$J94*B93,0%)</f>
        <v>2.7376000000000001E-2</v>
      </c>
      <c r="O93" s="15">
        <f>C93-MAX(Interpolation!$J94*C93,0%)</f>
        <v>2.8119999999999999E-2</v>
      </c>
      <c r="P93" s="15">
        <f>D93-MAX(Interpolation!$J94*D93,0%)</f>
        <v>1.3224E-2</v>
      </c>
      <c r="Q93" s="15">
        <f>E93-MAX(Interpolation!$J94*E93,0%)</f>
        <v>2.7463999999999999E-2</v>
      </c>
      <c r="R93" s="15">
        <f>F93-MAX(Interpolation!$J94*F93,0%)</f>
        <v>2.9264000000000002E-2</v>
      </c>
      <c r="S93" s="15">
        <f>G93-MAX(Interpolation!$J94*G93,0%)</f>
        <v>1.3728000000000001E-2</v>
      </c>
    </row>
    <row r="94" spans="1:19" x14ac:dyDescent="0.25">
      <c r="A94" s="1">
        <v>93</v>
      </c>
      <c r="B94" s="3">
        <v>3.4299999999999997E-2</v>
      </c>
      <c r="C94" s="3">
        <v>3.5209999999999998E-2</v>
      </c>
      <c r="D94" s="3">
        <v>1.6570000000000001E-2</v>
      </c>
      <c r="E94" s="3">
        <v>3.4419999999999999E-2</v>
      </c>
      <c r="F94" s="3">
        <v>3.662E-2</v>
      </c>
      <c r="G94" s="3">
        <v>1.719E-2</v>
      </c>
      <c r="H94" s="15">
        <f>B94+MAX(Interpolation!$I95*B94,1%)</f>
        <v>4.4299999999999999E-2</v>
      </c>
      <c r="I94" s="15">
        <f>C94+MAX(Interpolation!$I95*C94,1%)</f>
        <v>4.521E-2</v>
      </c>
      <c r="J94" s="15">
        <f>D94+MAX(Interpolation!$I95*D94,1%)</f>
        <v>2.6570000000000003E-2</v>
      </c>
      <c r="K94" s="15">
        <f>E94+MAX(Interpolation!$I95*E94,1%)</f>
        <v>4.4420000000000001E-2</v>
      </c>
      <c r="L94" s="15">
        <f>F94+MAX(Interpolation!$I95*F94,1%)</f>
        <v>4.6620000000000002E-2</v>
      </c>
      <c r="M94" s="15">
        <f>G94+MAX(Interpolation!$I95*G94,1%)</f>
        <v>2.7189999999999999E-2</v>
      </c>
      <c r="N94" s="15">
        <f>B94-MAX(Interpolation!$J95*B94,0%)</f>
        <v>2.7439999999999999E-2</v>
      </c>
      <c r="O94" s="15">
        <f>C94-MAX(Interpolation!$J95*C94,0%)</f>
        <v>2.8167999999999999E-2</v>
      </c>
      <c r="P94" s="15">
        <f>D94-MAX(Interpolation!$J95*D94,0%)</f>
        <v>1.3256E-2</v>
      </c>
      <c r="Q94" s="15">
        <f>E94-MAX(Interpolation!$J95*E94,0%)</f>
        <v>2.7535999999999998E-2</v>
      </c>
      <c r="R94" s="15">
        <f>F94-MAX(Interpolation!$J95*F94,0%)</f>
        <v>2.9295999999999999E-2</v>
      </c>
      <c r="S94" s="15">
        <f>G94-MAX(Interpolation!$J95*G94,0%)</f>
        <v>1.3752E-2</v>
      </c>
    </row>
    <row r="95" spans="1:19" x14ac:dyDescent="0.25">
      <c r="A95" s="1">
        <v>94</v>
      </c>
      <c r="B95" s="3">
        <v>3.4389999999999997E-2</v>
      </c>
      <c r="C95" s="3">
        <v>3.5270000000000003E-2</v>
      </c>
      <c r="D95" s="3">
        <v>1.661E-2</v>
      </c>
      <c r="E95" s="3">
        <v>3.4500000000000003E-2</v>
      </c>
      <c r="F95" s="3">
        <v>3.6659999999999998E-2</v>
      </c>
      <c r="G95" s="3">
        <v>1.7229999999999999E-2</v>
      </c>
      <c r="H95" s="15">
        <f>B95+MAX(Interpolation!$I96*B95,1%)</f>
        <v>4.4389999999999999E-2</v>
      </c>
      <c r="I95" s="15">
        <f>C95+MAX(Interpolation!$I96*C95,1%)</f>
        <v>4.5270000000000005E-2</v>
      </c>
      <c r="J95" s="15">
        <f>D95+MAX(Interpolation!$I96*D95,1%)</f>
        <v>2.6610000000000002E-2</v>
      </c>
      <c r="K95" s="15">
        <f>E95+MAX(Interpolation!$I96*E95,1%)</f>
        <v>4.4500000000000005E-2</v>
      </c>
      <c r="L95" s="15">
        <f>F95+MAX(Interpolation!$I96*F95,1%)</f>
        <v>4.666E-2</v>
      </c>
      <c r="M95" s="15">
        <f>G95+MAX(Interpolation!$I96*G95,1%)</f>
        <v>2.7229999999999997E-2</v>
      </c>
      <c r="N95" s="15">
        <f>B95-MAX(Interpolation!$J96*B95,0%)</f>
        <v>2.7511999999999998E-2</v>
      </c>
      <c r="O95" s="15">
        <f>C95-MAX(Interpolation!$J96*C95,0%)</f>
        <v>2.8216000000000001E-2</v>
      </c>
      <c r="P95" s="15">
        <f>D95-MAX(Interpolation!$J96*D95,0%)</f>
        <v>1.3287999999999999E-2</v>
      </c>
      <c r="Q95" s="15">
        <f>E95-MAX(Interpolation!$J96*E95,0%)</f>
        <v>2.7600000000000003E-2</v>
      </c>
      <c r="R95" s="15">
        <f>F95-MAX(Interpolation!$J96*F95,0%)</f>
        <v>2.9328E-2</v>
      </c>
      <c r="S95" s="15">
        <f>G95-MAX(Interpolation!$J96*G95,0%)</f>
        <v>1.3783999999999999E-2</v>
      </c>
    </row>
    <row r="96" spans="1:19" x14ac:dyDescent="0.25">
      <c r="A96" s="2">
        <v>95</v>
      </c>
      <c r="B96" s="4">
        <v>3.4470000000000001E-2</v>
      </c>
      <c r="C96" s="4">
        <v>3.5319999999999997E-2</v>
      </c>
      <c r="D96" s="4">
        <v>1.6650000000000002E-2</v>
      </c>
      <c r="E96" s="4">
        <v>3.4569999999999997E-2</v>
      </c>
      <c r="F96" s="4">
        <v>3.6700000000000003E-2</v>
      </c>
      <c r="G96" s="4">
        <v>1.7260000000000001E-2</v>
      </c>
      <c r="H96" s="15">
        <f>B96+MAX(Interpolation!$I97*B96,1%)</f>
        <v>4.4470000000000003E-2</v>
      </c>
      <c r="I96" s="15">
        <f>C96+MAX(Interpolation!$I97*C96,1%)</f>
        <v>4.5319999999999999E-2</v>
      </c>
      <c r="J96" s="15">
        <f>D96+MAX(Interpolation!$I97*D96,1%)</f>
        <v>2.665E-2</v>
      </c>
      <c r="K96" s="15">
        <f>E96+MAX(Interpolation!$I97*E96,1%)</f>
        <v>4.4569999999999999E-2</v>
      </c>
      <c r="L96" s="15">
        <f>F96+MAX(Interpolation!$I97*F96,1%)</f>
        <v>4.6700000000000005E-2</v>
      </c>
      <c r="M96" s="15">
        <f>G96+MAX(Interpolation!$I97*G96,1%)</f>
        <v>2.726E-2</v>
      </c>
      <c r="N96" s="15">
        <f>B96-MAX(Interpolation!$J97*B96,0%)</f>
        <v>2.7576E-2</v>
      </c>
      <c r="O96" s="15">
        <f>C96-MAX(Interpolation!$J97*C96,0%)</f>
        <v>2.8255999999999996E-2</v>
      </c>
      <c r="P96" s="15">
        <f>D96-MAX(Interpolation!$J97*D96,0%)</f>
        <v>1.3320000000000002E-2</v>
      </c>
      <c r="Q96" s="15">
        <f>E96-MAX(Interpolation!$J97*E96,0%)</f>
        <v>2.7655999999999997E-2</v>
      </c>
      <c r="R96" s="15">
        <f>F96-MAX(Interpolation!$J97*F96,0%)</f>
        <v>2.9360000000000004E-2</v>
      </c>
      <c r="S96" s="15">
        <f>G96-MAX(Interpolation!$J97*G96,0%)</f>
        <v>1.3808000000000001E-2</v>
      </c>
    </row>
    <row r="97" spans="1:19" x14ac:dyDescent="0.25">
      <c r="A97" s="1">
        <v>96</v>
      </c>
      <c r="B97" s="3">
        <v>3.4540000000000001E-2</v>
      </c>
      <c r="C97" s="3">
        <v>3.5380000000000002E-2</v>
      </c>
      <c r="D97" s="3">
        <v>1.669E-2</v>
      </c>
      <c r="E97" s="3">
        <v>3.465E-2</v>
      </c>
      <c r="F97" s="3">
        <v>3.6740000000000002E-2</v>
      </c>
      <c r="G97" s="3">
        <v>1.729E-2</v>
      </c>
      <c r="H97" s="15">
        <f>B97+MAX(Interpolation!$I98*B97,1%)</f>
        <v>4.4540000000000003E-2</v>
      </c>
      <c r="I97" s="15">
        <f>C97+MAX(Interpolation!$I98*C97,1%)</f>
        <v>4.5380000000000004E-2</v>
      </c>
      <c r="J97" s="15">
        <f>D97+MAX(Interpolation!$I98*D97,1%)</f>
        <v>2.6689999999999998E-2</v>
      </c>
      <c r="K97" s="15">
        <f>E97+MAX(Interpolation!$I98*E97,1%)</f>
        <v>4.4650000000000002E-2</v>
      </c>
      <c r="L97" s="15">
        <f>F97+MAX(Interpolation!$I98*F97,1%)</f>
        <v>4.6740000000000004E-2</v>
      </c>
      <c r="M97" s="15">
        <f>G97+MAX(Interpolation!$I98*G97,1%)</f>
        <v>2.7290000000000002E-2</v>
      </c>
      <c r="N97" s="15">
        <f>B97-MAX(Interpolation!$J98*B97,0%)</f>
        <v>2.7632E-2</v>
      </c>
      <c r="O97" s="15">
        <f>C97-MAX(Interpolation!$J98*C97,0%)</f>
        <v>2.8304000000000003E-2</v>
      </c>
      <c r="P97" s="15">
        <f>D97-MAX(Interpolation!$J98*D97,0%)</f>
        <v>1.3351999999999999E-2</v>
      </c>
      <c r="Q97" s="15">
        <f>E97-MAX(Interpolation!$J98*E97,0%)</f>
        <v>2.7720000000000002E-2</v>
      </c>
      <c r="R97" s="15">
        <f>F97-MAX(Interpolation!$J98*F97,0%)</f>
        <v>2.9392000000000001E-2</v>
      </c>
      <c r="S97" s="15">
        <f>G97-MAX(Interpolation!$J98*G97,0%)</f>
        <v>1.3832000000000001E-2</v>
      </c>
    </row>
    <row r="98" spans="1:19" x14ac:dyDescent="0.25">
      <c r="A98" s="1">
        <v>97</v>
      </c>
      <c r="B98" s="3">
        <v>3.4619999999999998E-2</v>
      </c>
      <c r="C98" s="3">
        <v>3.5430000000000003E-2</v>
      </c>
      <c r="D98" s="3">
        <v>1.6729999999999998E-2</v>
      </c>
      <c r="E98" s="3">
        <v>3.4729999999999997E-2</v>
      </c>
      <c r="F98" s="3">
        <v>3.678E-2</v>
      </c>
      <c r="G98" s="3">
        <v>1.7330000000000002E-2</v>
      </c>
      <c r="H98" s="15">
        <f>B98+MAX(Interpolation!$I99*B98,1%)</f>
        <v>4.462E-2</v>
      </c>
      <c r="I98" s="15">
        <f>C98+MAX(Interpolation!$I99*C98,1%)</f>
        <v>4.5430000000000005E-2</v>
      </c>
      <c r="J98" s="15">
        <f>D98+MAX(Interpolation!$I99*D98,1%)</f>
        <v>2.6729999999999997E-2</v>
      </c>
      <c r="K98" s="15">
        <f>E98+MAX(Interpolation!$I99*E98,1%)</f>
        <v>4.4729999999999999E-2</v>
      </c>
      <c r="L98" s="15">
        <f>F98+MAX(Interpolation!$I99*F98,1%)</f>
        <v>4.6780000000000002E-2</v>
      </c>
      <c r="M98" s="15">
        <f>G98+MAX(Interpolation!$I99*G98,1%)</f>
        <v>2.733E-2</v>
      </c>
      <c r="N98" s="15">
        <f>B98-MAX(Interpolation!$J99*B98,0%)</f>
        <v>2.7695999999999998E-2</v>
      </c>
      <c r="O98" s="15">
        <f>C98-MAX(Interpolation!$J99*C98,0%)</f>
        <v>2.8344000000000001E-2</v>
      </c>
      <c r="P98" s="15">
        <f>D98-MAX(Interpolation!$J99*D98,0%)</f>
        <v>1.3383999999999998E-2</v>
      </c>
      <c r="Q98" s="15">
        <f>E98-MAX(Interpolation!$J99*E98,0%)</f>
        <v>2.7783999999999996E-2</v>
      </c>
      <c r="R98" s="15">
        <f>F98-MAX(Interpolation!$J99*F98,0%)</f>
        <v>2.9423999999999999E-2</v>
      </c>
      <c r="S98" s="15">
        <f>G98-MAX(Interpolation!$J99*G98,0%)</f>
        <v>1.3864000000000001E-2</v>
      </c>
    </row>
    <row r="99" spans="1:19" x14ac:dyDescent="0.25">
      <c r="A99" s="1">
        <v>98</v>
      </c>
      <c r="B99" s="3">
        <v>3.4700000000000002E-2</v>
      </c>
      <c r="C99" s="3">
        <v>3.5479999999999998E-2</v>
      </c>
      <c r="D99" s="3">
        <v>1.677E-2</v>
      </c>
      <c r="E99" s="3">
        <v>3.4799999999999998E-2</v>
      </c>
      <c r="F99" s="3">
        <v>3.6819999999999999E-2</v>
      </c>
      <c r="G99" s="3">
        <v>1.736E-2</v>
      </c>
      <c r="H99" s="15">
        <f>B99+MAX(Interpolation!$I100*B99,1%)</f>
        <v>4.4700000000000004E-2</v>
      </c>
      <c r="I99" s="15">
        <f>C99+MAX(Interpolation!$I100*C99,1%)</f>
        <v>4.548E-2</v>
      </c>
      <c r="J99" s="15">
        <f>D99+MAX(Interpolation!$I100*D99,1%)</f>
        <v>2.6770000000000002E-2</v>
      </c>
      <c r="K99" s="15">
        <f>E99+MAX(Interpolation!$I100*E99,1%)</f>
        <v>4.48E-2</v>
      </c>
      <c r="L99" s="15">
        <f>F99+MAX(Interpolation!$I100*F99,1%)</f>
        <v>4.6820000000000001E-2</v>
      </c>
      <c r="M99" s="15">
        <f>G99+MAX(Interpolation!$I100*G99,1%)</f>
        <v>2.7360000000000002E-2</v>
      </c>
      <c r="N99" s="15">
        <f>B99-MAX(Interpolation!$J100*B99,0%)</f>
        <v>2.776E-2</v>
      </c>
      <c r="O99" s="15">
        <f>C99-MAX(Interpolation!$J100*C99,0%)</f>
        <v>2.8384E-2</v>
      </c>
      <c r="P99" s="15">
        <f>D99-MAX(Interpolation!$J100*D99,0%)</f>
        <v>1.3416000000000001E-2</v>
      </c>
      <c r="Q99" s="15">
        <f>E99-MAX(Interpolation!$J100*E99,0%)</f>
        <v>2.7839999999999997E-2</v>
      </c>
      <c r="R99" s="15">
        <f>F99-MAX(Interpolation!$J100*F99,0%)</f>
        <v>2.9456E-2</v>
      </c>
      <c r="S99" s="15">
        <f>G99-MAX(Interpolation!$J100*G99,0%)</f>
        <v>1.3888000000000001E-2</v>
      </c>
    </row>
    <row r="100" spans="1:19" x14ac:dyDescent="0.25">
      <c r="A100" s="1">
        <v>99</v>
      </c>
      <c r="B100" s="3">
        <v>3.4770000000000002E-2</v>
      </c>
      <c r="C100" s="3">
        <v>3.5529999999999999E-2</v>
      </c>
      <c r="D100" s="3">
        <v>1.6799999999999999E-2</v>
      </c>
      <c r="E100" s="3">
        <v>3.4869999999999998E-2</v>
      </c>
      <c r="F100" s="3">
        <v>3.6850000000000001E-2</v>
      </c>
      <c r="G100" s="3">
        <v>1.7389999999999999E-2</v>
      </c>
      <c r="H100" s="15">
        <f>B100+MAX(Interpolation!$I101*B100,1%)</f>
        <v>4.4770000000000004E-2</v>
      </c>
      <c r="I100" s="15">
        <f>C100+MAX(Interpolation!$I101*C100,1%)</f>
        <v>4.5530000000000001E-2</v>
      </c>
      <c r="J100" s="15">
        <f>D100+MAX(Interpolation!$I101*D100,1%)</f>
        <v>2.6799999999999997E-2</v>
      </c>
      <c r="K100" s="15">
        <f>E100+MAX(Interpolation!$I101*E100,1%)</f>
        <v>4.487E-2</v>
      </c>
      <c r="L100" s="15">
        <f>F100+MAX(Interpolation!$I101*F100,1%)</f>
        <v>4.6850000000000003E-2</v>
      </c>
      <c r="M100" s="15">
        <f>G100+MAX(Interpolation!$I101*G100,1%)</f>
        <v>2.7389999999999998E-2</v>
      </c>
      <c r="N100" s="15">
        <f>B100-MAX(Interpolation!$J101*B100,0%)</f>
        <v>2.7816E-2</v>
      </c>
      <c r="O100" s="15">
        <f>C100-MAX(Interpolation!$J101*C100,0%)</f>
        <v>2.8423999999999998E-2</v>
      </c>
      <c r="P100" s="15">
        <f>D100-MAX(Interpolation!$J101*D100,0%)</f>
        <v>1.3439999999999999E-2</v>
      </c>
      <c r="Q100" s="15">
        <f>E100-MAX(Interpolation!$J101*E100,0%)</f>
        <v>2.7895999999999997E-2</v>
      </c>
      <c r="R100" s="15">
        <f>F100-MAX(Interpolation!$J101*F100,0%)</f>
        <v>2.9479999999999999E-2</v>
      </c>
      <c r="S100" s="15">
        <f>G100-MAX(Interpolation!$J101*G100,0%)</f>
        <v>1.3911999999999999E-2</v>
      </c>
    </row>
    <row r="101" spans="1:19" x14ac:dyDescent="0.25">
      <c r="A101" s="2">
        <v>100</v>
      </c>
      <c r="B101" s="4">
        <v>3.4840000000000003E-2</v>
      </c>
      <c r="C101" s="4">
        <v>3.5580000000000001E-2</v>
      </c>
      <c r="D101" s="4">
        <v>1.6840000000000001E-2</v>
      </c>
      <c r="E101" s="4">
        <v>3.4939999999999999E-2</v>
      </c>
      <c r="F101" s="4">
        <v>3.6889999999999999E-2</v>
      </c>
      <c r="G101" s="4">
        <v>1.7420000000000001E-2</v>
      </c>
      <c r="H101" s="15">
        <f>B101+MAX(Interpolation!$I102*B101,1%)</f>
        <v>4.4840000000000005E-2</v>
      </c>
      <c r="I101" s="15">
        <f>C101+MAX(Interpolation!$I102*C101,1%)</f>
        <v>4.5580000000000002E-2</v>
      </c>
      <c r="J101" s="15">
        <f>D101+MAX(Interpolation!$I102*D101,1%)</f>
        <v>2.6840000000000003E-2</v>
      </c>
      <c r="K101" s="15">
        <f>E101+MAX(Interpolation!$I102*E101,1%)</f>
        <v>4.4940000000000001E-2</v>
      </c>
      <c r="L101" s="15">
        <f>F101+MAX(Interpolation!$I102*F101,1%)</f>
        <v>4.6890000000000001E-2</v>
      </c>
      <c r="M101" s="15">
        <f>G101+MAX(Interpolation!$I102*G101,1%)</f>
        <v>2.742E-2</v>
      </c>
      <c r="N101" s="15">
        <f>B101-MAX(Interpolation!$J102*B101,0%)</f>
        <v>2.7872000000000001E-2</v>
      </c>
      <c r="O101" s="15">
        <f>C101-MAX(Interpolation!$J102*C101,0%)</f>
        <v>2.8464E-2</v>
      </c>
      <c r="P101" s="15">
        <f>D101-MAX(Interpolation!$J102*D101,0%)</f>
        <v>1.3472000000000001E-2</v>
      </c>
      <c r="Q101" s="15">
        <f>E101-MAX(Interpolation!$J102*E101,0%)</f>
        <v>2.7951999999999998E-2</v>
      </c>
      <c r="R101" s="15">
        <f>F101-MAX(Interpolation!$J102*F101,0%)</f>
        <v>2.9512E-2</v>
      </c>
      <c r="S101" s="15">
        <f>G101-MAX(Interpolation!$J102*G101,0%)</f>
        <v>1.3936E-2</v>
      </c>
    </row>
    <row r="102" spans="1:19" x14ac:dyDescent="0.25">
      <c r="A102" s="1">
        <v>101</v>
      </c>
      <c r="B102" s="3">
        <v>3.4909999999999997E-2</v>
      </c>
      <c r="C102" s="3">
        <v>3.5630000000000002E-2</v>
      </c>
      <c r="D102" s="3">
        <v>1.687E-2</v>
      </c>
      <c r="E102" s="3">
        <v>3.5009999999999999E-2</v>
      </c>
      <c r="F102" s="3">
        <v>3.6929999999999998E-2</v>
      </c>
      <c r="G102" s="3">
        <v>1.745E-2</v>
      </c>
      <c r="H102" s="15">
        <f>B102+MAX(Interpolation!$I103*B102,1%)</f>
        <v>4.4909999999999999E-2</v>
      </c>
      <c r="I102" s="15">
        <f>C102+MAX(Interpolation!$I103*C102,1%)</f>
        <v>4.5630000000000004E-2</v>
      </c>
      <c r="J102" s="15">
        <f>D102+MAX(Interpolation!$I103*D102,1%)</f>
        <v>2.6869999999999998E-2</v>
      </c>
      <c r="K102" s="15">
        <f>E102+MAX(Interpolation!$I103*E102,1%)</f>
        <v>4.5010000000000001E-2</v>
      </c>
      <c r="L102" s="15">
        <f>F102+MAX(Interpolation!$I103*F102,1%)</f>
        <v>4.6929999999999999E-2</v>
      </c>
      <c r="M102" s="15">
        <f>G102+MAX(Interpolation!$I103*G102,1%)</f>
        <v>2.7450000000000002E-2</v>
      </c>
      <c r="N102" s="15">
        <f>B102-MAX(Interpolation!$J103*B102,0%)</f>
        <v>2.7927999999999998E-2</v>
      </c>
      <c r="O102" s="15">
        <f>C102-MAX(Interpolation!$J103*C102,0%)</f>
        <v>2.8504000000000002E-2</v>
      </c>
      <c r="P102" s="15">
        <f>D102-MAX(Interpolation!$J103*D102,0%)</f>
        <v>1.3495999999999999E-2</v>
      </c>
      <c r="Q102" s="15">
        <f>E102-MAX(Interpolation!$J103*E102,0%)</f>
        <v>2.8007999999999998E-2</v>
      </c>
      <c r="R102" s="15">
        <f>F102-MAX(Interpolation!$J103*F102,0%)</f>
        <v>2.9543999999999997E-2</v>
      </c>
      <c r="S102" s="15">
        <f>G102-MAX(Interpolation!$J103*G102,0%)</f>
        <v>1.396E-2</v>
      </c>
    </row>
    <row r="103" spans="1:19" x14ac:dyDescent="0.25">
      <c r="A103" s="1">
        <v>102</v>
      </c>
      <c r="B103" s="3">
        <v>3.4979999999999997E-2</v>
      </c>
      <c r="C103" s="3">
        <v>3.5680000000000003E-2</v>
      </c>
      <c r="D103" s="3">
        <v>1.6910000000000001E-2</v>
      </c>
      <c r="E103" s="3">
        <v>3.508E-2</v>
      </c>
      <c r="F103" s="3">
        <v>3.696E-2</v>
      </c>
      <c r="G103" s="3">
        <v>1.7479999999999999E-2</v>
      </c>
      <c r="H103" s="15">
        <f>B103+MAX(Interpolation!$I104*B103,1%)</f>
        <v>4.4979999999999999E-2</v>
      </c>
      <c r="I103" s="15">
        <f>C103+MAX(Interpolation!$I104*C103,1%)</f>
        <v>4.5680000000000005E-2</v>
      </c>
      <c r="J103" s="15">
        <f>D103+MAX(Interpolation!$I104*D103,1%)</f>
        <v>2.6910000000000003E-2</v>
      </c>
      <c r="K103" s="15">
        <f>E103+MAX(Interpolation!$I104*E103,1%)</f>
        <v>4.5080000000000002E-2</v>
      </c>
      <c r="L103" s="15">
        <f>F103+MAX(Interpolation!$I104*F103,1%)</f>
        <v>4.6960000000000002E-2</v>
      </c>
      <c r="M103" s="15">
        <f>G103+MAX(Interpolation!$I104*G103,1%)</f>
        <v>2.7479999999999997E-2</v>
      </c>
      <c r="N103" s="15">
        <f>B103-MAX(Interpolation!$J104*B103,0%)</f>
        <v>2.7983999999999998E-2</v>
      </c>
      <c r="O103" s="15">
        <f>C103-MAX(Interpolation!$J104*C103,0%)</f>
        <v>2.8544000000000003E-2</v>
      </c>
      <c r="P103" s="15">
        <f>D103-MAX(Interpolation!$J104*D103,0%)</f>
        <v>1.3528000000000002E-2</v>
      </c>
      <c r="Q103" s="15">
        <f>E103-MAX(Interpolation!$J104*E103,0%)</f>
        <v>2.8063999999999999E-2</v>
      </c>
      <c r="R103" s="15">
        <f>F103-MAX(Interpolation!$J104*F103,0%)</f>
        <v>2.9568000000000001E-2</v>
      </c>
      <c r="S103" s="15">
        <f>G103-MAX(Interpolation!$J104*G103,0%)</f>
        <v>1.3984E-2</v>
      </c>
    </row>
    <row r="104" spans="1:19" x14ac:dyDescent="0.25">
      <c r="A104" s="1">
        <v>103</v>
      </c>
      <c r="B104" s="3">
        <v>3.5049999999999998E-2</v>
      </c>
      <c r="C104" s="3">
        <v>3.5720000000000002E-2</v>
      </c>
      <c r="D104" s="3">
        <v>1.694E-2</v>
      </c>
      <c r="E104" s="3">
        <v>3.5150000000000001E-2</v>
      </c>
      <c r="F104" s="3">
        <v>3.6990000000000002E-2</v>
      </c>
      <c r="G104" s="3">
        <v>1.7500000000000002E-2</v>
      </c>
      <c r="H104" s="15">
        <f>B104+MAX(Interpolation!$I105*B104,1%)</f>
        <v>4.505E-2</v>
      </c>
      <c r="I104" s="15">
        <f>C104+MAX(Interpolation!$I105*C104,1%)</f>
        <v>4.5720000000000004E-2</v>
      </c>
      <c r="J104" s="15">
        <f>D104+MAX(Interpolation!$I105*D104,1%)</f>
        <v>2.6939999999999999E-2</v>
      </c>
      <c r="K104" s="15">
        <f>E104+MAX(Interpolation!$I105*E104,1%)</f>
        <v>4.5150000000000003E-2</v>
      </c>
      <c r="L104" s="15">
        <f>F104+MAX(Interpolation!$I105*F104,1%)</f>
        <v>4.6990000000000004E-2</v>
      </c>
      <c r="M104" s="15">
        <f>G104+MAX(Interpolation!$I105*G104,1%)</f>
        <v>2.7500000000000004E-2</v>
      </c>
      <c r="N104" s="15">
        <f>B104-MAX(Interpolation!$J105*B104,0%)</f>
        <v>2.8039999999999999E-2</v>
      </c>
      <c r="O104" s="15">
        <f>C104-MAX(Interpolation!$J105*C104,0%)</f>
        <v>2.8576000000000001E-2</v>
      </c>
      <c r="P104" s="15">
        <f>D104-MAX(Interpolation!$J105*D104,0%)</f>
        <v>1.3552E-2</v>
      </c>
      <c r="Q104" s="15">
        <f>E104-MAX(Interpolation!$J105*E104,0%)</f>
        <v>2.8119999999999999E-2</v>
      </c>
      <c r="R104" s="15">
        <f>F104-MAX(Interpolation!$J105*F104,0%)</f>
        <v>2.9592E-2</v>
      </c>
      <c r="S104" s="15">
        <f>G104-MAX(Interpolation!$J105*G104,0%)</f>
        <v>1.4000000000000002E-2</v>
      </c>
    </row>
    <row r="105" spans="1:19" x14ac:dyDescent="0.25">
      <c r="A105" s="1">
        <v>104</v>
      </c>
      <c r="B105" s="3">
        <v>3.5119999999999998E-2</v>
      </c>
      <c r="C105" s="3">
        <v>3.5770000000000003E-2</v>
      </c>
      <c r="D105" s="3">
        <v>1.6979999999999999E-2</v>
      </c>
      <c r="E105" s="3">
        <v>3.5220000000000001E-2</v>
      </c>
      <c r="F105" s="3">
        <v>3.703E-2</v>
      </c>
      <c r="G105" s="3">
        <v>1.753E-2</v>
      </c>
      <c r="H105" s="15">
        <f>B105+MAX(Interpolation!$I106*B105,1%)</f>
        <v>4.512E-2</v>
      </c>
      <c r="I105" s="15">
        <f>C105+MAX(Interpolation!$I106*C105,1%)</f>
        <v>4.5770000000000005E-2</v>
      </c>
      <c r="J105" s="15">
        <f>D105+MAX(Interpolation!$I106*D105,1%)</f>
        <v>2.6979999999999997E-2</v>
      </c>
      <c r="K105" s="15">
        <f>E105+MAX(Interpolation!$I106*E105,1%)</f>
        <v>4.5220000000000003E-2</v>
      </c>
      <c r="L105" s="15">
        <f>F105+MAX(Interpolation!$I106*F105,1%)</f>
        <v>4.7030000000000002E-2</v>
      </c>
      <c r="M105" s="15">
        <f>G105+MAX(Interpolation!$I106*G105,1%)</f>
        <v>2.7529999999999999E-2</v>
      </c>
      <c r="N105" s="15">
        <f>B105-MAX(Interpolation!$J106*B105,0%)</f>
        <v>2.8095999999999999E-2</v>
      </c>
      <c r="O105" s="15">
        <f>C105-MAX(Interpolation!$J106*C105,0%)</f>
        <v>2.8616000000000003E-2</v>
      </c>
      <c r="P105" s="15">
        <f>D105-MAX(Interpolation!$J106*D105,0%)</f>
        <v>1.3583999999999999E-2</v>
      </c>
      <c r="Q105" s="15">
        <f>E105-MAX(Interpolation!$J106*E105,0%)</f>
        <v>2.8176E-2</v>
      </c>
      <c r="R105" s="15">
        <f>F105-MAX(Interpolation!$J106*F105,0%)</f>
        <v>2.9624000000000001E-2</v>
      </c>
      <c r="S105" s="15">
        <f>G105-MAX(Interpolation!$J106*G105,0%)</f>
        <v>1.4024E-2</v>
      </c>
    </row>
    <row r="106" spans="1:19" x14ac:dyDescent="0.25">
      <c r="A106" s="2">
        <v>105</v>
      </c>
      <c r="B106" s="4">
        <v>3.5180000000000003E-2</v>
      </c>
      <c r="C106" s="4">
        <v>3.5810000000000002E-2</v>
      </c>
      <c r="D106" s="4">
        <v>1.7010000000000001E-2</v>
      </c>
      <c r="E106" s="4">
        <v>3.5279999999999999E-2</v>
      </c>
      <c r="F106" s="4">
        <v>3.7060000000000003E-2</v>
      </c>
      <c r="G106" s="4">
        <v>1.7559999999999999E-2</v>
      </c>
      <c r="H106" s="15">
        <f>B106+MAX(Interpolation!$I107*B106,1%)</f>
        <v>4.5180000000000005E-2</v>
      </c>
      <c r="I106" s="15">
        <f>C106+MAX(Interpolation!$I107*C106,1%)</f>
        <v>4.5810000000000003E-2</v>
      </c>
      <c r="J106" s="15">
        <f>D106+MAX(Interpolation!$I107*D106,1%)</f>
        <v>2.7009999999999999E-2</v>
      </c>
      <c r="K106" s="15">
        <f>E106+MAX(Interpolation!$I107*E106,1%)</f>
        <v>4.5280000000000001E-2</v>
      </c>
      <c r="L106" s="15">
        <f>F106+MAX(Interpolation!$I107*F106,1%)</f>
        <v>4.7060000000000005E-2</v>
      </c>
      <c r="M106" s="15">
        <f>G106+MAX(Interpolation!$I107*G106,1%)</f>
        <v>2.7560000000000001E-2</v>
      </c>
      <c r="N106" s="15">
        <f>B106-MAX(Interpolation!$J107*B106,0%)</f>
        <v>2.8144000000000002E-2</v>
      </c>
      <c r="O106" s="15">
        <f>C106-MAX(Interpolation!$J107*C106,0%)</f>
        <v>2.8648E-2</v>
      </c>
      <c r="P106" s="15">
        <f>D106-MAX(Interpolation!$J107*D106,0%)</f>
        <v>1.3608E-2</v>
      </c>
      <c r="Q106" s="15">
        <f>E106-MAX(Interpolation!$J107*E106,0%)</f>
        <v>2.8223999999999999E-2</v>
      </c>
      <c r="R106" s="15">
        <f>F106-MAX(Interpolation!$J107*F106,0%)</f>
        <v>2.9648000000000001E-2</v>
      </c>
      <c r="S106" s="15">
        <f>G106-MAX(Interpolation!$J107*G106,0%)</f>
        <v>1.4048E-2</v>
      </c>
    </row>
    <row r="107" spans="1:19" x14ac:dyDescent="0.25">
      <c r="A107" s="1">
        <v>106</v>
      </c>
      <c r="B107" s="3">
        <v>3.5249999999999997E-2</v>
      </c>
      <c r="C107" s="3">
        <v>3.5860000000000003E-2</v>
      </c>
      <c r="D107" s="3">
        <v>1.704E-2</v>
      </c>
      <c r="E107" s="3">
        <v>3.5340000000000003E-2</v>
      </c>
      <c r="F107" s="3">
        <v>3.7089999999999998E-2</v>
      </c>
      <c r="G107" s="3">
        <v>1.7590000000000001E-2</v>
      </c>
      <c r="H107" s="15">
        <f>B107+MAX(Interpolation!$I108*B107,1%)</f>
        <v>4.5249999999999999E-2</v>
      </c>
      <c r="I107" s="15">
        <f>C107+MAX(Interpolation!$I108*C107,1%)</f>
        <v>4.5860000000000005E-2</v>
      </c>
      <c r="J107" s="15">
        <f>D107+MAX(Interpolation!$I108*D107,1%)</f>
        <v>2.7040000000000002E-2</v>
      </c>
      <c r="K107" s="15">
        <f>E107+MAX(Interpolation!$I108*E107,1%)</f>
        <v>4.5340000000000005E-2</v>
      </c>
      <c r="L107" s="15">
        <f>F107+MAX(Interpolation!$I108*F107,1%)</f>
        <v>4.709E-2</v>
      </c>
      <c r="M107" s="15">
        <f>G107+MAX(Interpolation!$I108*G107,1%)</f>
        <v>2.7590000000000003E-2</v>
      </c>
      <c r="N107" s="15">
        <f>B107-MAX(Interpolation!$J108*B107,0%)</f>
        <v>2.8199999999999996E-2</v>
      </c>
      <c r="O107" s="15">
        <f>C107-MAX(Interpolation!$J108*C107,0%)</f>
        <v>2.8688000000000002E-2</v>
      </c>
      <c r="P107" s="15">
        <f>D107-MAX(Interpolation!$J108*D107,0%)</f>
        <v>1.3632E-2</v>
      </c>
      <c r="Q107" s="15">
        <f>E107-MAX(Interpolation!$J108*E107,0%)</f>
        <v>2.8272000000000002E-2</v>
      </c>
      <c r="R107" s="15">
        <f>F107-MAX(Interpolation!$J108*F107,0%)</f>
        <v>2.9671999999999997E-2</v>
      </c>
      <c r="S107" s="15">
        <f>G107-MAX(Interpolation!$J108*G107,0%)</f>
        <v>1.4072000000000001E-2</v>
      </c>
    </row>
    <row r="108" spans="1:19" x14ac:dyDescent="0.25">
      <c r="A108" s="1">
        <v>107</v>
      </c>
      <c r="B108" s="3">
        <v>3.5310000000000001E-2</v>
      </c>
      <c r="C108" s="3">
        <v>3.5900000000000001E-2</v>
      </c>
      <c r="D108" s="3">
        <v>1.7069999999999998E-2</v>
      </c>
      <c r="E108" s="3">
        <v>3.5400000000000001E-2</v>
      </c>
      <c r="F108" s="3">
        <v>3.7130000000000003E-2</v>
      </c>
      <c r="G108" s="3">
        <v>1.7610000000000001E-2</v>
      </c>
      <c r="H108" s="15">
        <f>B108+MAX(Interpolation!$I109*B108,1%)</f>
        <v>4.5310000000000003E-2</v>
      </c>
      <c r="I108" s="15">
        <f>C108+MAX(Interpolation!$I109*C108,1%)</f>
        <v>4.5900000000000003E-2</v>
      </c>
      <c r="J108" s="15">
        <f>D108+MAX(Interpolation!$I109*D108,1%)</f>
        <v>2.7069999999999997E-2</v>
      </c>
      <c r="K108" s="15">
        <f>E108+MAX(Interpolation!$I109*E108,1%)</f>
        <v>4.5400000000000003E-2</v>
      </c>
      <c r="L108" s="15">
        <f>F108+MAX(Interpolation!$I109*F108,1%)</f>
        <v>4.7130000000000005E-2</v>
      </c>
      <c r="M108" s="15">
        <f>G108+MAX(Interpolation!$I109*G108,1%)</f>
        <v>2.7610000000000003E-2</v>
      </c>
      <c r="N108" s="15">
        <f>B108-MAX(Interpolation!$J109*B108,0%)</f>
        <v>2.8248000000000002E-2</v>
      </c>
      <c r="O108" s="15">
        <f>C108-MAX(Interpolation!$J109*C108,0%)</f>
        <v>2.8720000000000002E-2</v>
      </c>
      <c r="P108" s="15">
        <f>D108-MAX(Interpolation!$J109*D108,0%)</f>
        <v>1.3655999999999998E-2</v>
      </c>
      <c r="Q108" s="15">
        <f>E108-MAX(Interpolation!$J109*E108,0%)</f>
        <v>2.8320000000000001E-2</v>
      </c>
      <c r="R108" s="15">
        <f>F108-MAX(Interpolation!$J109*F108,0%)</f>
        <v>2.9704000000000001E-2</v>
      </c>
      <c r="S108" s="15">
        <f>G108-MAX(Interpolation!$J109*G108,0%)</f>
        <v>1.4088E-2</v>
      </c>
    </row>
    <row r="109" spans="1:19" x14ac:dyDescent="0.25">
      <c r="A109" s="1">
        <v>108</v>
      </c>
      <c r="B109" s="3">
        <v>3.5369999999999999E-2</v>
      </c>
      <c r="C109" s="3">
        <v>3.594E-2</v>
      </c>
      <c r="D109" s="3">
        <v>1.7100000000000001E-2</v>
      </c>
      <c r="E109" s="3">
        <v>3.5470000000000002E-2</v>
      </c>
      <c r="F109" s="3">
        <v>3.7159999999999999E-2</v>
      </c>
      <c r="G109" s="3">
        <v>1.7639999999999999E-2</v>
      </c>
      <c r="H109" s="15">
        <f>B109+MAX(Interpolation!$I110*B109,1%)</f>
        <v>4.5370000000000001E-2</v>
      </c>
      <c r="I109" s="15">
        <f>C109+MAX(Interpolation!$I110*C109,1%)</f>
        <v>4.5940000000000002E-2</v>
      </c>
      <c r="J109" s="15">
        <f>D109+MAX(Interpolation!$I110*D109,1%)</f>
        <v>2.7099999999999999E-2</v>
      </c>
      <c r="K109" s="15">
        <f>E109+MAX(Interpolation!$I110*E109,1%)</f>
        <v>4.5470000000000003E-2</v>
      </c>
      <c r="L109" s="15">
        <f>F109+MAX(Interpolation!$I110*F109,1%)</f>
        <v>4.7160000000000001E-2</v>
      </c>
      <c r="M109" s="15">
        <f>G109+MAX(Interpolation!$I110*G109,1%)</f>
        <v>2.7639999999999998E-2</v>
      </c>
      <c r="N109" s="15">
        <f>B109-MAX(Interpolation!$J110*B109,0%)</f>
        <v>2.8295999999999998E-2</v>
      </c>
      <c r="O109" s="15">
        <f>C109-MAX(Interpolation!$J110*C109,0%)</f>
        <v>2.8752E-2</v>
      </c>
      <c r="P109" s="15">
        <f>D109-MAX(Interpolation!$J110*D109,0%)</f>
        <v>1.3680000000000001E-2</v>
      </c>
      <c r="Q109" s="15">
        <f>E109-MAX(Interpolation!$J110*E109,0%)</f>
        <v>2.8376000000000002E-2</v>
      </c>
      <c r="R109" s="15">
        <f>F109-MAX(Interpolation!$J110*F109,0%)</f>
        <v>2.9727999999999997E-2</v>
      </c>
      <c r="S109" s="15">
        <f>G109-MAX(Interpolation!$J110*G109,0%)</f>
        <v>1.4112E-2</v>
      </c>
    </row>
    <row r="110" spans="1:19" x14ac:dyDescent="0.25">
      <c r="A110" s="1">
        <v>109</v>
      </c>
      <c r="B110" s="3">
        <v>3.5430000000000003E-2</v>
      </c>
      <c r="C110" s="3">
        <v>3.5990000000000001E-2</v>
      </c>
      <c r="D110" s="3">
        <v>1.7129999999999999E-2</v>
      </c>
      <c r="E110" s="3">
        <v>3.5529999999999999E-2</v>
      </c>
      <c r="F110" s="3">
        <v>3.7190000000000001E-2</v>
      </c>
      <c r="G110" s="3">
        <v>1.7659999999999999E-2</v>
      </c>
      <c r="H110" s="15">
        <f>B110+MAX(Interpolation!$I111*B110,1%)</f>
        <v>4.5430000000000005E-2</v>
      </c>
      <c r="I110" s="15">
        <f>C110+MAX(Interpolation!$I111*C110,1%)</f>
        <v>4.5990000000000003E-2</v>
      </c>
      <c r="J110" s="15">
        <f>D110+MAX(Interpolation!$I111*D110,1%)</f>
        <v>2.7130000000000001E-2</v>
      </c>
      <c r="K110" s="15">
        <f>E110+MAX(Interpolation!$I111*E110,1%)</f>
        <v>4.5530000000000001E-2</v>
      </c>
      <c r="L110" s="15">
        <f>F110+MAX(Interpolation!$I111*F110,1%)</f>
        <v>4.7190000000000003E-2</v>
      </c>
      <c r="M110" s="15">
        <f>G110+MAX(Interpolation!$I111*G110,1%)</f>
        <v>2.7659999999999997E-2</v>
      </c>
      <c r="N110" s="15">
        <f>B110-MAX(Interpolation!$J111*B110,0%)</f>
        <v>2.8344000000000001E-2</v>
      </c>
      <c r="O110" s="15">
        <f>C110-MAX(Interpolation!$J111*C110,0%)</f>
        <v>2.8792000000000002E-2</v>
      </c>
      <c r="P110" s="15">
        <f>D110-MAX(Interpolation!$J111*D110,0%)</f>
        <v>1.3703999999999999E-2</v>
      </c>
      <c r="Q110" s="15">
        <f>E110-MAX(Interpolation!$J111*E110,0%)</f>
        <v>2.8423999999999998E-2</v>
      </c>
      <c r="R110" s="15">
        <f>F110-MAX(Interpolation!$J111*F110,0%)</f>
        <v>2.9752000000000001E-2</v>
      </c>
      <c r="S110" s="15">
        <f>G110-MAX(Interpolation!$J111*G110,0%)</f>
        <v>1.4127999999999998E-2</v>
      </c>
    </row>
    <row r="111" spans="1:19" x14ac:dyDescent="0.25">
      <c r="A111" s="2">
        <v>110</v>
      </c>
      <c r="B111" s="4">
        <v>3.5490000000000001E-2</v>
      </c>
      <c r="C111" s="4">
        <v>3.603E-2</v>
      </c>
      <c r="D111" s="4">
        <v>1.7160000000000002E-2</v>
      </c>
      <c r="E111" s="4">
        <v>3.5580000000000001E-2</v>
      </c>
      <c r="F111" s="4">
        <v>3.7220000000000003E-2</v>
      </c>
      <c r="G111" s="4">
        <v>1.7690000000000001E-2</v>
      </c>
      <c r="H111" s="15">
        <f>B111+MAX(Interpolation!$I112*B111,1%)</f>
        <v>4.5490000000000003E-2</v>
      </c>
      <c r="I111" s="15">
        <f>C111+MAX(Interpolation!$I112*C111,1%)</f>
        <v>4.6030000000000001E-2</v>
      </c>
      <c r="J111" s="15">
        <f>D111+MAX(Interpolation!$I112*D111,1%)</f>
        <v>2.7160000000000004E-2</v>
      </c>
      <c r="K111" s="15">
        <f>E111+MAX(Interpolation!$I112*E111,1%)</f>
        <v>4.5580000000000002E-2</v>
      </c>
      <c r="L111" s="15">
        <f>F111+MAX(Interpolation!$I112*F111,1%)</f>
        <v>4.7220000000000005E-2</v>
      </c>
      <c r="M111" s="15">
        <f>G111+MAX(Interpolation!$I112*G111,1%)</f>
        <v>2.7689999999999999E-2</v>
      </c>
      <c r="N111" s="15">
        <f>B111-MAX(Interpolation!$J112*B111,0%)</f>
        <v>2.8392000000000001E-2</v>
      </c>
      <c r="O111" s="15">
        <f>C111-MAX(Interpolation!$J112*C111,0%)</f>
        <v>2.8823999999999999E-2</v>
      </c>
      <c r="P111" s="15">
        <f>D111-MAX(Interpolation!$J112*D111,0%)</f>
        <v>1.3728000000000001E-2</v>
      </c>
      <c r="Q111" s="15">
        <f>E111-MAX(Interpolation!$J112*E111,0%)</f>
        <v>2.8464E-2</v>
      </c>
      <c r="R111" s="15">
        <f>F111-MAX(Interpolation!$J112*F111,0%)</f>
        <v>2.9776000000000004E-2</v>
      </c>
      <c r="S111" s="15">
        <f>G111-MAX(Interpolation!$J112*G111,0%)</f>
        <v>1.4152000000000001E-2</v>
      </c>
    </row>
    <row r="112" spans="1:19" x14ac:dyDescent="0.25">
      <c r="A112" s="1">
        <v>111</v>
      </c>
      <c r="B112" s="3">
        <v>3.5549999999999998E-2</v>
      </c>
      <c r="C112" s="3">
        <v>3.6069999999999998E-2</v>
      </c>
      <c r="D112" s="3">
        <v>1.719E-2</v>
      </c>
      <c r="E112" s="3">
        <v>3.5639999999999998E-2</v>
      </c>
      <c r="F112" s="3">
        <v>3.7249999999999998E-2</v>
      </c>
      <c r="G112" s="3">
        <v>1.771E-2</v>
      </c>
      <c r="H112" s="15">
        <f>B112+MAX(Interpolation!$I113*B112,1%)</f>
        <v>4.555E-2</v>
      </c>
      <c r="I112" s="15">
        <f>C112+MAX(Interpolation!$I113*C112,1%)</f>
        <v>4.607E-2</v>
      </c>
      <c r="J112" s="15">
        <f>D112+MAX(Interpolation!$I113*D112,1%)</f>
        <v>2.7189999999999999E-2</v>
      </c>
      <c r="K112" s="15">
        <f>E112+MAX(Interpolation!$I113*E112,1%)</f>
        <v>4.564E-2</v>
      </c>
      <c r="L112" s="15">
        <f>F112+MAX(Interpolation!$I113*F112,1%)</f>
        <v>4.725E-2</v>
      </c>
      <c r="M112" s="15">
        <f>G112+MAX(Interpolation!$I113*G112,1%)</f>
        <v>2.7709999999999999E-2</v>
      </c>
      <c r="N112" s="15">
        <f>B112-MAX(Interpolation!$J113*B112,0%)</f>
        <v>2.844E-2</v>
      </c>
      <c r="O112" s="15">
        <f>C112-MAX(Interpolation!$J113*C112,0%)</f>
        <v>2.8856E-2</v>
      </c>
      <c r="P112" s="15">
        <f>D112-MAX(Interpolation!$J113*D112,0%)</f>
        <v>1.3752E-2</v>
      </c>
      <c r="Q112" s="15">
        <f>E112-MAX(Interpolation!$J113*E112,0%)</f>
        <v>2.8511999999999999E-2</v>
      </c>
      <c r="R112" s="15">
        <f>F112-MAX(Interpolation!$J113*F112,0%)</f>
        <v>2.98E-2</v>
      </c>
      <c r="S112" s="15">
        <f>G112-MAX(Interpolation!$J113*G112,0%)</f>
        <v>1.4168E-2</v>
      </c>
    </row>
    <row r="113" spans="1:19" x14ac:dyDescent="0.25">
      <c r="A113" s="1">
        <v>112</v>
      </c>
      <c r="B113" s="3">
        <v>3.5610000000000003E-2</v>
      </c>
      <c r="C113" s="3">
        <v>3.6110000000000003E-2</v>
      </c>
      <c r="D113" s="3">
        <v>1.7219999999999999E-2</v>
      </c>
      <c r="E113" s="3">
        <v>3.5700000000000003E-2</v>
      </c>
      <c r="F113" s="3">
        <v>3.7280000000000001E-2</v>
      </c>
      <c r="G113" s="3">
        <v>1.7739999999999999E-2</v>
      </c>
      <c r="H113" s="15">
        <f>B113+MAX(Interpolation!$I114*B113,1%)</f>
        <v>4.5610000000000005E-2</v>
      </c>
      <c r="I113" s="15">
        <f>C113+MAX(Interpolation!$I114*C113,1%)</f>
        <v>4.6110000000000005E-2</v>
      </c>
      <c r="J113" s="15">
        <f>D113+MAX(Interpolation!$I114*D113,1%)</f>
        <v>2.7220000000000001E-2</v>
      </c>
      <c r="K113" s="15">
        <f>E113+MAX(Interpolation!$I114*E113,1%)</f>
        <v>4.5700000000000005E-2</v>
      </c>
      <c r="L113" s="15">
        <f>F113+MAX(Interpolation!$I114*F113,1%)</f>
        <v>4.7280000000000003E-2</v>
      </c>
      <c r="M113" s="15">
        <f>G113+MAX(Interpolation!$I114*G113,1%)</f>
        <v>2.7740000000000001E-2</v>
      </c>
      <c r="N113" s="15">
        <f>B113-MAX(Interpolation!$J114*B113,0%)</f>
        <v>2.8488000000000003E-2</v>
      </c>
      <c r="O113" s="15">
        <f>C113-MAX(Interpolation!$J114*C113,0%)</f>
        <v>2.8888000000000004E-2</v>
      </c>
      <c r="P113" s="15">
        <f>D113-MAX(Interpolation!$J114*D113,0%)</f>
        <v>1.3776E-2</v>
      </c>
      <c r="Q113" s="15">
        <f>E113-MAX(Interpolation!$J114*E113,0%)</f>
        <v>2.8560000000000002E-2</v>
      </c>
      <c r="R113" s="15">
        <f>F113-MAX(Interpolation!$J114*F113,0%)</f>
        <v>2.9824E-2</v>
      </c>
      <c r="S113" s="15">
        <f>G113-MAX(Interpolation!$J114*G113,0%)</f>
        <v>1.4192E-2</v>
      </c>
    </row>
    <row r="114" spans="1:19" x14ac:dyDescent="0.25">
      <c r="A114" s="1">
        <v>113</v>
      </c>
      <c r="B114" s="3">
        <v>3.5659999999999997E-2</v>
      </c>
      <c r="C114" s="3">
        <v>3.6150000000000002E-2</v>
      </c>
      <c r="D114" s="3">
        <v>1.7250000000000001E-2</v>
      </c>
      <c r="E114" s="3">
        <v>3.5749999999999997E-2</v>
      </c>
      <c r="F114" s="3">
        <v>3.73E-2</v>
      </c>
      <c r="G114" s="3">
        <v>1.7760000000000001E-2</v>
      </c>
      <c r="H114" s="15">
        <f>B114+MAX(Interpolation!$I115*B114,1%)</f>
        <v>4.5659999999999999E-2</v>
      </c>
      <c r="I114" s="15">
        <f>C114+MAX(Interpolation!$I115*C114,1%)</f>
        <v>4.6150000000000004E-2</v>
      </c>
      <c r="J114" s="15">
        <f>D114+MAX(Interpolation!$I115*D114,1%)</f>
        <v>2.7250000000000003E-2</v>
      </c>
      <c r="K114" s="15">
        <f>E114+MAX(Interpolation!$I115*E114,1%)</f>
        <v>4.5749999999999999E-2</v>
      </c>
      <c r="L114" s="15">
        <f>F114+MAX(Interpolation!$I115*F114,1%)</f>
        <v>4.7300000000000002E-2</v>
      </c>
      <c r="M114" s="15">
        <f>G114+MAX(Interpolation!$I115*G114,1%)</f>
        <v>2.776E-2</v>
      </c>
      <c r="N114" s="15">
        <f>B114-MAX(Interpolation!$J115*B114,0%)</f>
        <v>2.8527999999999998E-2</v>
      </c>
      <c r="O114" s="15">
        <f>C114-MAX(Interpolation!$J115*C114,0%)</f>
        <v>2.8920000000000001E-2</v>
      </c>
      <c r="P114" s="15">
        <f>D114-MAX(Interpolation!$J115*D114,0%)</f>
        <v>1.3800000000000002E-2</v>
      </c>
      <c r="Q114" s="15">
        <f>E114-MAX(Interpolation!$J115*E114,0%)</f>
        <v>2.8599999999999997E-2</v>
      </c>
      <c r="R114" s="15">
        <f>F114-MAX(Interpolation!$J115*F114,0%)</f>
        <v>2.9839999999999998E-2</v>
      </c>
      <c r="S114" s="15">
        <f>G114-MAX(Interpolation!$J115*G114,0%)</f>
        <v>1.4208000000000002E-2</v>
      </c>
    </row>
    <row r="115" spans="1:19" x14ac:dyDescent="0.25">
      <c r="A115" s="1">
        <v>114</v>
      </c>
      <c r="B115" s="3">
        <v>3.5720000000000002E-2</v>
      </c>
      <c r="C115" s="3">
        <v>3.6179999999999997E-2</v>
      </c>
      <c r="D115" s="3">
        <v>1.728E-2</v>
      </c>
      <c r="E115" s="3">
        <v>3.5810000000000002E-2</v>
      </c>
      <c r="F115" s="3">
        <v>3.7330000000000002E-2</v>
      </c>
      <c r="G115" s="3">
        <v>1.7780000000000001E-2</v>
      </c>
      <c r="H115" s="15">
        <f>B115+MAX(Interpolation!$I116*B115,1%)</f>
        <v>4.5720000000000004E-2</v>
      </c>
      <c r="I115" s="15">
        <f>C115+MAX(Interpolation!$I116*C115,1%)</f>
        <v>4.6179999999999999E-2</v>
      </c>
      <c r="J115" s="15">
        <f>D115+MAX(Interpolation!$I116*D115,1%)</f>
        <v>2.7279999999999999E-2</v>
      </c>
      <c r="K115" s="15">
        <f>E115+MAX(Interpolation!$I116*E115,1%)</f>
        <v>4.5810000000000003E-2</v>
      </c>
      <c r="L115" s="15">
        <f>F115+MAX(Interpolation!$I116*F115,1%)</f>
        <v>4.7330000000000004E-2</v>
      </c>
      <c r="M115" s="15">
        <f>G115+MAX(Interpolation!$I116*G115,1%)</f>
        <v>2.7779999999999999E-2</v>
      </c>
      <c r="N115" s="15">
        <f>B115-MAX(Interpolation!$J116*B115,0%)</f>
        <v>2.8576000000000001E-2</v>
      </c>
      <c r="O115" s="15">
        <f>C115-MAX(Interpolation!$J116*C115,0%)</f>
        <v>2.8943999999999998E-2</v>
      </c>
      <c r="P115" s="15">
        <f>D115-MAX(Interpolation!$J116*D115,0%)</f>
        <v>1.3823999999999999E-2</v>
      </c>
      <c r="Q115" s="15">
        <f>E115-MAX(Interpolation!$J116*E115,0%)</f>
        <v>2.8648E-2</v>
      </c>
      <c r="R115" s="15">
        <f>F115-MAX(Interpolation!$J116*F115,0%)</f>
        <v>2.9864000000000002E-2</v>
      </c>
      <c r="S115" s="15">
        <f>G115-MAX(Interpolation!$J116*G115,0%)</f>
        <v>1.4224000000000001E-2</v>
      </c>
    </row>
    <row r="116" spans="1:19" x14ac:dyDescent="0.25">
      <c r="A116" s="2">
        <v>115</v>
      </c>
      <c r="B116" s="4">
        <v>3.5770000000000003E-2</v>
      </c>
      <c r="C116" s="4">
        <v>3.6220000000000002E-2</v>
      </c>
      <c r="D116" s="4">
        <v>1.7299999999999999E-2</v>
      </c>
      <c r="E116" s="4">
        <v>3.5860000000000003E-2</v>
      </c>
      <c r="F116" s="4">
        <v>3.7359999999999997E-2</v>
      </c>
      <c r="G116" s="4">
        <v>1.7809999999999999E-2</v>
      </c>
      <c r="H116" s="15">
        <f>B116+MAX(Interpolation!$I117*B116,1%)</f>
        <v>4.5770000000000005E-2</v>
      </c>
      <c r="I116" s="15">
        <f>C116+MAX(Interpolation!$I117*C116,1%)</f>
        <v>4.6220000000000004E-2</v>
      </c>
      <c r="J116" s="15">
        <f>D116+MAX(Interpolation!$I117*D116,1%)</f>
        <v>2.7299999999999998E-2</v>
      </c>
      <c r="K116" s="15">
        <f>E116+MAX(Interpolation!$I117*E116,1%)</f>
        <v>4.5860000000000005E-2</v>
      </c>
      <c r="L116" s="15">
        <f>F116+MAX(Interpolation!$I117*F116,1%)</f>
        <v>4.7359999999999999E-2</v>
      </c>
      <c r="M116" s="15">
        <f>G116+MAX(Interpolation!$I117*G116,1%)</f>
        <v>2.7810000000000001E-2</v>
      </c>
      <c r="N116" s="15">
        <f>B116-MAX(Interpolation!$J117*B116,0%)</f>
        <v>2.8616000000000003E-2</v>
      </c>
      <c r="O116" s="15">
        <f>C116-MAX(Interpolation!$J117*C116,0%)</f>
        <v>2.8976000000000002E-2</v>
      </c>
      <c r="P116" s="15">
        <f>D116-MAX(Interpolation!$J117*D116,0%)</f>
        <v>1.384E-2</v>
      </c>
      <c r="Q116" s="15">
        <f>E116-MAX(Interpolation!$J117*E116,0%)</f>
        <v>2.8688000000000002E-2</v>
      </c>
      <c r="R116" s="15">
        <f>F116-MAX(Interpolation!$J117*F116,0%)</f>
        <v>2.9887999999999998E-2</v>
      </c>
      <c r="S116" s="15">
        <f>G116-MAX(Interpolation!$J117*G116,0%)</f>
        <v>1.4248E-2</v>
      </c>
    </row>
    <row r="117" spans="1:19" x14ac:dyDescent="0.25">
      <c r="A117" s="1">
        <v>116</v>
      </c>
      <c r="B117" s="3">
        <v>3.5830000000000001E-2</v>
      </c>
      <c r="C117" s="3">
        <v>3.6260000000000001E-2</v>
      </c>
      <c r="D117" s="3">
        <v>1.7330000000000002E-2</v>
      </c>
      <c r="E117" s="3">
        <v>3.5909999999999997E-2</v>
      </c>
      <c r="F117" s="3">
        <v>3.739E-2</v>
      </c>
      <c r="G117" s="3">
        <v>1.7829999999999999E-2</v>
      </c>
      <c r="H117" s="15">
        <f>B117+MAX(Interpolation!$I118*B117,1%)</f>
        <v>4.5830000000000003E-2</v>
      </c>
      <c r="I117" s="15">
        <f>C117+MAX(Interpolation!$I118*C117,1%)</f>
        <v>4.6260000000000003E-2</v>
      </c>
      <c r="J117" s="15">
        <f>D117+MAX(Interpolation!$I118*D117,1%)</f>
        <v>2.733E-2</v>
      </c>
      <c r="K117" s="15">
        <f>E117+MAX(Interpolation!$I118*E117,1%)</f>
        <v>4.5909999999999999E-2</v>
      </c>
      <c r="L117" s="15">
        <f>F117+MAX(Interpolation!$I118*F117,1%)</f>
        <v>4.7390000000000002E-2</v>
      </c>
      <c r="M117" s="15">
        <f>G117+MAX(Interpolation!$I118*G117,1%)</f>
        <v>2.7830000000000001E-2</v>
      </c>
      <c r="N117" s="15">
        <f>B117-MAX(Interpolation!$J118*B117,0%)</f>
        <v>2.8664000000000002E-2</v>
      </c>
      <c r="O117" s="15">
        <f>C117-MAX(Interpolation!$J118*C117,0%)</f>
        <v>2.9007999999999999E-2</v>
      </c>
      <c r="P117" s="15">
        <f>D117-MAX(Interpolation!$J118*D117,0%)</f>
        <v>1.3864000000000001E-2</v>
      </c>
      <c r="Q117" s="15">
        <f>E117-MAX(Interpolation!$J118*E117,0%)</f>
        <v>2.8727999999999997E-2</v>
      </c>
      <c r="R117" s="15">
        <f>F117-MAX(Interpolation!$J118*F117,0%)</f>
        <v>2.9912000000000001E-2</v>
      </c>
      <c r="S117" s="15">
        <f>G117-MAX(Interpolation!$J118*G117,0%)</f>
        <v>1.4263999999999999E-2</v>
      </c>
    </row>
    <row r="118" spans="1:19" x14ac:dyDescent="0.25">
      <c r="A118" s="1">
        <v>117</v>
      </c>
      <c r="B118" s="3">
        <v>3.5880000000000002E-2</v>
      </c>
      <c r="C118" s="3">
        <v>3.6290000000000003E-2</v>
      </c>
      <c r="D118" s="3">
        <v>1.736E-2</v>
      </c>
      <c r="E118" s="3">
        <v>3.5970000000000002E-2</v>
      </c>
      <c r="F118" s="3">
        <v>3.7409999999999999E-2</v>
      </c>
      <c r="G118" s="3">
        <v>1.7850000000000001E-2</v>
      </c>
      <c r="H118" s="15">
        <f>B118+MAX(Interpolation!$I119*B118,1%)</f>
        <v>4.5880000000000004E-2</v>
      </c>
      <c r="I118" s="15">
        <f>C118+MAX(Interpolation!$I119*C118,1%)</f>
        <v>4.6290000000000005E-2</v>
      </c>
      <c r="J118" s="15">
        <f>D118+MAX(Interpolation!$I119*D118,1%)</f>
        <v>2.7360000000000002E-2</v>
      </c>
      <c r="K118" s="15">
        <f>E118+MAX(Interpolation!$I119*E118,1%)</f>
        <v>4.5970000000000004E-2</v>
      </c>
      <c r="L118" s="15">
        <f>F118+MAX(Interpolation!$I119*F118,1%)</f>
        <v>4.7410000000000001E-2</v>
      </c>
      <c r="M118" s="15">
        <f>G118+MAX(Interpolation!$I119*G118,1%)</f>
        <v>2.785E-2</v>
      </c>
      <c r="N118" s="15">
        <f>B118-MAX(Interpolation!$J119*B118,0%)</f>
        <v>2.8704E-2</v>
      </c>
      <c r="O118" s="15">
        <f>C118-MAX(Interpolation!$J119*C118,0%)</f>
        <v>2.9032000000000002E-2</v>
      </c>
      <c r="P118" s="15">
        <f>D118-MAX(Interpolation!$J119*D118,0%)</f>
        <v>1.3888000000000001E-2</v>
      </c>
      <c r="Q118" s="15">
        <f>E118-MAX(Interpolation!$J119*E118,0%)</f>
        <v>2.8776000000000003E-2</v>
      </c>
      <c r="R118" s="15">
        <f>F118-MAX(Interpolation!$J119*F118,0%)</f>
        <v>2.9928E-2</v>
      </c>
      <c r="S118" s="15">
        <f>G118-MAX(Interpolation!$J119*G118,0%)</f>
        <v>1.4280000000000001E-2</v>
      </c>
    </row>
    <row r="119" spans="1:19" x14ac:dyDescent="0.25">
      <c r="A119" s="1">
        <v>118</v>
      </c>
      <c r="B119" s="3">
        <v>3.5929999999999997E-2</v>
      </c>
      <c r="C119" s="3">
        <v>3.6330000000000001E-2</v>
      </c>
      <c r="D119" s="3">
        <v>1.738E-2</v>
      </c>
      <c r="E119" s="3">
        <v>3.6020000000000003E-2</v>
      </c>
      <c r="F119" s="3">
        <v>3.7440000000000001E-2</v>
      </c>
      <c r="G119" s="3">
        <v>1.787E-2</v>
      </c>
      <c r="H119" s="15">
        <f>B119+MAX(Interpolation!$I120*B119,1%)</f>
        <v>4.5929999999999999E-2</v>
      </c>
      <c r="I119" s="15">
        <f>C119+MAX(Interpolation!$I120*C119,1%)</f>
        <v>4.6330000000000003E-2</v>
      </c>
      <c r="J119" s="15">
        <f>D119+MAX(Interpolation!$I120*D119,1%)</f>
        <v>2.7380000000000002E-2</v>
      </c>
      <c r="K119" s="15">
        <f>E119+MAX(Interpolation!$I120*E119,1%)</f>
        <v>4.6020000000000005E-2</v>
      </c>
      <c r="L119" s="15">
        <f>F119+MAX(Interpolation!$I120*F119,1%)</f>
        <v>4.7440000000000003E-2</v>
      </c>
      <c r="M119" s="15">
        <f>G119+MAX(Interpolation!$I120*G119,1%)</f>
        <v>2.7869999999999999E-2</v>
      </c>
      <c r="N119" s="15">
        <f>B119-MAX(Interpolation!$J120*B119,0%)</f>
        <v>2.8743999999999999E-2</v>
      </c>
      <c r="O119" s="15">
        <f>C119-MAX(Interpolation!$J120*C119,0%)</f>
        <v>2.9064E-2</v>
      </c>
      <c r="P119" s="15">
        <f>D119-MAX(Interpolation!$J120*D119,0%)</f>
        <v>1.3904E-2</v>
      </c>
      <c r="Q119" s="15">
        <f>E119-MAX(Interpolation!$J120*E119,0%)</f>
        <v>2.8816000000000001E-2</v>
      </c>
      <c r="R119" s="15">
        <f>F119-MAX(Interpolation!$J120*F119,0%)</f>
        <v>2.9951999999999999E-2</v>
      </c>
      <c r="S119" s="15">
        <f>G119-MAX(Interpolation!$J120*G119,0%)</f>
        <v>1.4296E-2</v>
      </c>
    </row>
    <row r="120" spans="1:19" x14ac:dyDescent="0.25">
      <c r="A120" s="1">
        <v>119</v>
      </c>
      <c r="B120" s="3">
        <v>3.5979999999999998E-2</v>
      </c>
      <c r="C120" s="3">
        <v>3.6360000000000003E-2</v>
      </c>
      <c r="D120" s="3">
        <v>1.7409999999999998E-2</v>
      </c>
      <c r="E120" s="3">
        <v>3.6069999999999998E-2</v>
      </c>
      <c r="F120" s="3">
        <v>3.7470000000000003E-2</v>
      </c>
      <c r="G120" s="3">
        <v>1.789E-2</v>
      </c>
      <c r="H120" s="15">
        <f>B120+MAX(Interpolation!$I121*B120,1%)</f>
        <v>4.598E-2</v>
      </c>
      <c r="I120" s="15">
        <f>C120+MAX(Interpolation!$I121*C120,1%)</f>
        <v>4.6360000000000005E-2</v>
      </c>
      <c r="J120" s="15">
        <f>D120+MAX(Interpolation!$I121*D120,1%)</f>
        <v>2.7409999999999997E-2</v>
      </c>
      <c r="K120" s="15">
        <f>E120+MAX(Interpolation!$I121*E120,1%)</f>
        <v>4.607E-2</v>
      </c>
      <c r="L120" s="15">
        <f>F120+MAX(Interpolation!$I121*F120,1%)</f>
        <v>4.7470000000000005E-2</v>
      </c>
      <c r="M120" s="15">
        <f>G120+MAX(Interpolation!$I121*G120,1%)</f>
        <v>2.7889999999999998E-2</v>
      </c>
      <c r="N120" s="15">
        <f>B120-MAX(Interpolation!$J121*B120,0%)</f>
        <v>2.8783999999999997E-2</v>
      </c>
      <c r="O120" s="15">
        <f>C120-MAX(Interpolation!$J121*C120,0%)</f>
        <v>2.9088000000000003E-2</v>
      </c>
      <c r="P120" s="15">
        <f>D120-MAX(Interpolation!$J121*D120,0%)</f>
        <v>1.3927999999999999E-2</v>
      </c>
      <c r="Q120" s="15">
        <f>E120-MAX(Interpolation!$J121*E120,0%)</f>
        <v>2.8856E-2</v>
      </c>
      <c r="R120" s="15">
        <f>F120-MAX(Interpolation!$J121*F120,0%)</f>
        <v>2.9976000000000003E-2</v>
      </c>
      <c r="S120" s="15">
        <f>G120-MAX(Interpolation!$J121*G120,0%)</f>
        <v>1.4312E-2</v>
      </c>
    </row>
    <row r="121" spans="1:19" x14ac:dyDescent="0.25">
      <c r="A121" s="2">
        <v>120</v>
      </c>
      <c r="B121" s="4">
        <v>3.603E-2</v>
      </c>
      <c r="C121" s="4">
        <v>3.6400000000000002E-2</v>
      </c>
      <c r="D121" s="4">
        <v>1.7430000000000001E-2</v>
      </c>
      <c r="E121" s="4">
        <v>3.6119999999999999E-2</v>
      </c>
      <c r="F121" s="4">
        <v>3.7490000000000002E-2</v>
      </c>
      <c r="G121" s="4">
        <v>1.7909999999999999E-2</v>
      </c>
      <c r="H121" s="15">
        <f>B121+MAX(Interpolation!$I122*B121,1%)</f>
        <v>4.6030000000000001E-2</v>
      </c>
      <c r="I121" s="15">
        <f>C121+MAX(Interpolation!$I122*C121,1%)</f>
        <v>4.6400000000000004E-2</v>
      </c>
      <c r="J121" s="15">
        <f>D121+MAX(Interpolation!$I122*D121,1%)</f>
        <v>2.7430000000000003E-2</v>
      </c>
      <c r="K121" s="15">
        <f>E121+MAX(Interpolation!$I122*E121,1%)</f>
        <v>4.6120000000000001E-2</v>
      </c>
      <c r="L121" s="15">
        <f>F121+MAX(Interpolation!$I122*F121,1%)</f>
        <v>4.7490000000000004E-2</v>
      </c>
      <c r="M121" s="15">
        <f>G121+MAX(Interpolation!$I122*G121,1%)</f>
        <v>2.7909999999999997E-2</v>
      </c>
      <c r="N121" s="15">
        <f>B121-MAX(Interpolation!$J122*B121,0%)</f>
        <v>2.8823999999999999E-2</v>
      </c>
      <c r="O121" s="15">
        <f>C121-MAX(Interpolation!$J122*C121,0%)</f>
        <v>2.912E-2</v>
      </c>
      <c r="P121" s="15">
        <f>D121-MAX(Interpolation!$J122*D121,0%)</f>
        <v>1.3944000000000002E-2</v>
      </c>
      <c r="Q121" s="15">
        <f>E121-MAX(Interpolation!$J122*E121,0%)</f>
        <v>2.8895999999999998E-2</v>
      </c>
      <c r="R121" s="15">
        <f>F121-MAX(Interpolation!$J122*F121,0%)</f>
        <v>2.9992000000000001E-2</v>
      </c>
      <c r="S121" s="15">
        <f>G121-MAX(Interpolation!$J122*G121,0%)</f>
        <v>1.4327999999999999E-2</v>
      </c>
    </row>
    <row r="122" spans="1:19" x14ac:dyDescent="0.25">
      <c r="A122" s="1">
        <v>121</v>
      </c>
      <c r="B122" s="3">
        <v>3.6080000000000001E-2</v>
      </c>
      <c r="C122" s="3">
        <v>3.6429999999999997E-2</v>
      </c>
      <c r="D122" s="3">
        <v>1.746E-2</v>
      </c>
      <c r="E122" s="3">
        <v>3.6170000000000001E-2</v>
      </c>
      <c r="F122" s="3">
        <v>3.7519999999999998E-2</v>
      </c>
      <c r="G122" s="3">
        <v>1.7930000000000001E-2</v>
      </c>
      <c r="H122" s="15">
        <f>B122+MAX(Interpolation!$I123*B122,1%)</f>
        <v>4.6080000000000003E-2</v>
      </c>
      <c r="I122" s="15">
        <f>C122+MAX(Interpolation!$I123*C122,1%)</f>
        <v>4.6429999999999999E-2</v>
      </c>
      <c r="J122" s="15">
        <f>D122+MAX(Interpolation!$I123*D122,1%)</f>
        <v>2.7459999999999998E-2</v>
      </c>
      <c r="K122" s="15">
        <f>E122+MAX(Interpolation!$I123*E122,1%)</f>
        <v>4.6170000000000003E-2</v>
      </c>
      <c r="L122" s="15">
        <f>F122+MAX(Interpolation!$I123*F122,1%)</f>
        <v>4.752E-2</v>
      </c>
      <c r="M122" s="15">
        <f>G122+MAX(Interpolation!$I123*G122,1%)</f>
        <v>2.7930000000000003E-2</v>
      </c>
      <c r="N122" s="15">
        <f>B122-MAX(Interpolation!$J123*B122,0%)</f>
        <v>2.8864000000000001E-2</v>
      </c>
      <c r="O122" s="15">
        <f>C122-MAX(Interpolation!$J123*C122,0%)</f>
        <v>2.9143999999999996E-2</v>
      </c>
      <c r="P122" s="15">
        <f>D122-MAX(Interpolation!$J123*D122,0%)</f>
        <v>1.3968E-2</v>
      </c>
      <c r="Q122" s="15">
        <f>E122-MAX(Interpolation!$J123*E122,0%)</f>
        <v>2.8936E-2</v>
      </c>
      <c r="R122" s="15">
        <f>F122-MAX(Interpolation!$J123*F122,0%)</f>
        <v>3.0015999999999998E-2</v>
      </c>
      <c r="S122" s="15">
        <f>G122-MAX(Interpolation!$J123*G122,0%)</f>
        <v>1.4344000000000001E-2</v>
      </c>
    </row>
    <row r="123" spans="1:19" x14ac:dyDescent="0.25">
      <c r="A123" s="1">
        <v>122</v>
      </c>
      <c r="B123" s="3">
        <v>3.6130000000000002E-2</v>
      </c>
      <c r="C123" s="3">
        <v>3.6470000000000002E-2</v>
      </c>
      <c r="D123" s="3">
        <v>1.7479999999999999E-2</v>
      </c>
      <c r="E123" s="3">
        <v>3.6209999999999999E-2</v>
      </c>
      <c r="F123" s="3">
        <v>3.7539999999999997E-2</v>
      </c>
      <c r="G123" s="3">
        <v>1.7950000000000001E-2</v>
      </c>
      <c r="H123" s="15">
        <f>B123+MAX(Interpolation!$I124*B123,1%)</f>
        <v>4.6130000000000004E-2</v>
      </c>
      <c r="I123" s="15">
        <f>C123+MAX(Interpolation!$I124*C123,1%)</f>
        <v>4.6470000000000004E-2</v>
      </c>
      <c r="J123" s="15">
        <f>D123+MAX(Interpolation!$I124*D123,1%)</f>
        <v>2.7479999999999997E-2</v>
      </c>
      <c r="K123" s="15">
        <f>E123+MAX(Interpolation!$I124*E123,1%)</f>
        <v>4.6210000000000001E-2</v>
      </c>
      <c r="L123" s="15">
        <f>F123+MAX(Interpolation!$I124*F123,1%)</f>
        <v>4.7539999999999999E-2</v>
      </c>
      <c r="M123" s="15">
        <f>G123+MAX(Interpolation!$I124*G123,1%)</f>
        <v>2.7950000000000003E-2</v>
      </c>
      <c r="N123" s="15">
        <f>B123-MAX(Interpolation!$J124*B123,0%)</f>
        <v>2.8904000000000003E-2</v>
      </c>
      <c r="O123" s="15">
        <f>C123-MAX(Interpolation!$J124*C123,0%)</f>
        <v>2.9176000000000001E-2</v>
      </c>
      <c r="P123" s="15">
        <f>D123-MAX(Interpolation!$J124*D123,0%)</f>
        <v>1.3984E-2</v>
      </c>
      <c r="Q123" s="15">
        <f>E123-MAX(Interpolation!$J124*E123,0%)</f>
        <v>2.8968000000000001E-2</v>
      </c>
      <c r="R123" s="15">
        <f>F123-MAX(Interpolation!$J124*F123,0%)</f>
        <v>3.0031999999999996E-2</v>
      </c>
      <c r="S123" s="15">
        <f>G123-MAX(Interpolation!$J124*G123,0%)</f>
        <v>1.4360000000000001E-2</v>
      </c>
    </row>
    <row r="124" spans="1:19" x14ac:dyDescent="0.25">
      <c r="A124" s="1">
        <v>123</v>
      </c>
      <c r="B124" s="3">
        <v>3.6179999999999997E-2</v>
      </c>
      <c r="C124" s="3">
        <v>3.6499999999999998E-2</v>
      </c>
      <c r="D124" s="3">
        <v>1.7500000000000002E-2</v>
      </c>
      <c r="E124" s="3">
        <v>3.6260000000000001E-2</v>
      </c>
      <c r="F124" s="3">
        <v>3.7560000000000003E-2</v>
      </c>
      <c r="G124" s="3">
        <v>1.797E-2</v>
      </c>
      <c r="H124" s="15">
        <f>B124+MAX(Interpolation!$I125*B124,1%)</f>
        <v>4.6179999999999999E-2</v>
      </c>
      <c r="I124" s="15">
        <f>C124+MAX(Interpolation!$I125*C124,1%)</f>
        <v>4.65E-2</v>
      </c>
      <c r="J124" s="15">
        <f>D124+MAX(Interpolation!$I125*D124,1%)</f>
        <v>2.7500000000000004E-2</v>
      </c>
      <c r="K124" s="15">
        <f>E124+MAX(Interpolation!$I125*E124,1%)</f>
        <v>4.6260000000000003E-2</v>
      </c>
      <c r="L124" s="15">
        <f>F124+MAX(Interpolation!$I125*F124,1%)</f>
        <v>4.7560000000000005E-2</v>
      </c>
      <c r="M124" s="15">
        <f>G124+MAX(Interpolation!$I125*G124,1%)</f>
        <v>2.7970000000000002E-2</v>
      </c>
      <c r="N124" s="15">
        <f>B124-MAX(Interpolation!$J125*B124,0%)</f>
        <v>2.8943999999999998E-2</v>
      </c>
      <c r="O124" s="15">
        <f>C124-MAX(Interpolation!$J125*C124,0%)</f>
        <v>2.9199999999999997E-2</v>
      </c>
      <c r="P124" s="15">
        <f>D124-MAX(Interpolation!$J125*D124,0%)</f>
        <v>1.4000000000000002E-2</v>
      </c>
      <c r="Q124" s="15">
        <f>E124-MAX(Interpolation!$J125*E124,0%)</f>
        <v>2.9007999999999999E-2</v>
      </c>
      <c r="R124" s="15">
        <f>F124-MAX(Interpolation!$J125*F124,0%)</f>
        <v>3.0048000000000002E-2</v>
      </c>
      <c r="S124" s="15">
        <f>G124-MAX(Interpolation!$J125*G124,0%)</f>
        <v>1.4376E-2</v>
      </c>
    </row>
    <row r="125" spans="1:19" x14ac:dyDescent="0.25">
      <c r="A125" s="1">
        <v>124</v>
      </c>
      <c r="B125" s="3">
        <v>3.6220000000000002E-2</v>
      </c>
      <c r="C125" s="3">
        <v>3.653E-2</v>
      </c>
      <c r="D125" s="3">
        <v>1.753E-2</v>
      </c>
      <c r="E125" s="3">
        <v>3.6310000000000002E-2</v>
      </c>
      <c r="F125" s="3">
        <v>3.7589999999999998E-2</v>
      </c>
      <c r="G125" s="3">
        <v>1.7989999999999999E-2</v>
      </c>
      <c r="H125" s="15">
        <f>B125+MAX(Interpolation!$I126*B125,1%)</f>
        <v>4.6220000000000004E-2</v>
      </c>
      <c r="I125" s="15">
        <f>C125+MAX(Interpolation!$I126*C125,1%)</f>
        <v>4.6530000000000002E-2</v>
      </c>
      <c r="J125" s="15">
        <f>D125+MAX(Interpolation!$I126*D125,1%)</f>
        <v>2.7529999999999999E-2</v>
      </c>
      <c r="K125" s="15">
        <f>E125+MAX(Interpolation!$I126*E125,1%)</f>
        <v>4.6310000000000004E-2</v>
      </c>
      <c r="L125" s="15">
        <f>F125+MAX(Interpolation!$I126*F125,1%)</f>
        <v>4.759E-2</v>
      </c>
      <c r="M125" s="15">
        <f>G125+MAX(Interpolation!$I126*G125,1%)</f>
        <v>2.7990000000000001E-2</v>
      </c>
      <c r="N125" s="15">
        <f>B125-MAX(Interpolation!$J126*B125,0%)</f>
        <v>2.8976000000000002E-2</v>
      </c>
      <c r="O125" s="15">
        <f>C125-MAX(Interpolation!$J126*C125,0%)</f>
        <v>2.9224E-2</v>
      </c>
      <c r="P125" s="15">
        <f>D125-MAX(Interpolation!$J126*D125,0%)</f>
        <v>1.4024E-2</v>
      </c>
      <c r="Q125" s="15">
        <f>E125-MAX(Interpolation!$J126*E125,0%)</f>
        <v>2.9048000000000001E-2</v>
      </c>
      <c r="R125" s="15">
        <f>F125-MAX(Interpolation!$J126*F125,0%)</f>
        <v>3.0071999999999998E-2</v>
      </c>
      <c r="S125" s="15">
        <f>G125-MAX(Interpolation!$J126*G125,0%)</f>
        <v>1.4391999999999999E-2</v>
      </c>
    </row>
    <row r="126" spans="1:19" x14ac:dyDescent="0.25">
      <c r="A126" s="2">
        <v>125</v>
      </c>
      <c r="B126" s="4">
        <v>3.6269999999999997E-2</v>
      </c>
      <c r="C126" s="4">
        <v>3.6560000000000002E-2</v>
      </c>
      <c r="D126" s="4">
        <v>1.755E-2</v>
      </c>
      <c r="E126" s="4">
        <v>3.635E-2</v>
      </c>
      <c r="F126" s="4">
        <v>3.7609999999999998E-2</v>
      </c>
      <c r="G126" s="4">
        <v>1.8010000000000002E-2</v>
      </c>
      <c r="H126" s="15">
        <f>B126+MAX(Interpolation!$I127*B126,1%)</f>
        <v>4.6269999999999999E-2</v>
      </c>
      <c r="I126" s="15">
        <f>C126+MAX(Interpolation!$I127*C126,1%)</f>
        <v>4.6560000000000004E-2</v>
      </c>
      <c r="J126" s="15">
        <f>D126+MAX(Interpolation!$I127*D126,1%)</f>
        <v>2.7549999999999998E-2</v>
      </c>
      <c r="K126" s="15">
        <f>E126+MAX(Interpolation!$I127*E126,1%)</f>
        <v>4.6350000000000002E-2</v>
      </c>
      <c r="L126" s="15">
        <f>F126+MAX(Interpolation!$I127*F126,1%)</f>
        <v>4.761E-2</v>
      </c>
      <c r="M126" s="15">
        <f>G126+MAX(Interpolation!$I127*G126,1%)</f>
        <v>2.801E-2</v>
      </c>
      <c r="N126" s="15">
        <f>B126-MAX(Interpolation!$J127*B126,0%)</f>
        <v>2.9015999999999997E-2</v>
      </c>
      <c r="O126" s="15">
        <f>C126-MAX(Interpolation!$J127*C126,0%)</f>
        <v>2.9248000000000003E-2</v>
      </c>
      <c r="P126" s="15">
        <f>D126-MAX(Interpolation!$J127*D126,0%)</f>
        <v>1.404E-2</v>
      </c>
      <c r="Q126" s="15">
        <f>E126-MAX(Interpolation!$J127*E126,0%)</f>
        <v>2.9080000000000002E-2</v>
      </c>
      <c r="R126" s="15">
        <f>F126-MAX(Interpolation!$J127*F126,0%)</f>
        <v>3.0087999999999997E-2</v>
      </c>
      <c r="S126" s="15">
        <f>G126-MAX(Interpolation!$J127*G126,0%)</f>
        <v>1.4408000000000001E-2</v>
      </c>
    </row>
    <row r="127" spans="1:19" x14ac:dyDescent="0.25">
      <c r="A127" s="1">
        <v>126</v>
      </c>
      <c r="B127" s="3">
        <v>3.6310000000000002E-2</v>
      </c>
      <c r="C127" s="3">
        <v>3.6589999999999998E-2</v>
      </c>
      <c r="D127" s="3">
        <v>1.7569999999999999E-2</v>
      </c>
      <c r="E127" s="3">
        <v>3.6400000000000002E-2</v>
      </c>
      <c r="F127" s="3">
        <v>3.7629999999999997E-2</v>
      </c>
      <c r="G127" s="3">
        <v>1.8030000000000001E-2</v>
      </c>
      <c r="H127" s="15">
        <f>B127+MAX(Interpolation!$I128*B127,1%)</f>
        <v>4.6310000000000004E-2</v>
      </c>
      <c r="I127" s="15">
        <f>C127+MAX(Interpolation!$I128*C127,1%)</f>
        <v>4.6589999999999999E-2</v>
      </c>
      <c r="J127" s="15">
        <f>D127+MAX(Interpolation!$I128*D127,1%)</f>
        <v>2.7569999999999997E-2</v>
      </c>
      <c r="K127" s="15">
        <f>E127+MAX(Interpolation!$I128*E127,1%)</f>
        <v>4.6400000000000004E-2</v>
      </c>
      <c r="L127" s="15">
        <f>F127+MAX(Interpolation!$I128*F127,1%)</f>
        <v>4.7629999999999999E-2</v>
      </c>
      <c r="M127" s="15">
        <f>G127+MAX(Interpolation!$I128*G127,1%)</f>
        <v>2.8029999999999999E-2</v>
      </c>
      <c r="N127" s="15">
        <f>B127-MAX(Interpolation!$J128*B127,0%)</f>
        <v>2.9048000000000001E-2</v>
      </c>
      <c r="O127" s="15">
        <f>C127-MAX(Interpolation!$J128*C127,0%)</f>
        <v>2.9271999999999999E-2</v>
      </c>
      <c r="P127" s="15">
        <f>D127-MAX(Interpolation!$J128*D127,0%)</f>
        <v>1.4055999999999999E-2</v>
      </c>
      <c r="Q127" s="15">
        <f>E127-MAX(Interpolation!$J128*E127,0%)</f>
        <v>2.912E-2</v>
      </c>
      <c r="R127" s="15">
        <f>F127-MAX(Interpolation!$J128*F127,0%)</f>
        <v>3.0103999999999999E-2</v>
      </c>
      <c r="S127" s="15">
        <f>G127-MAX(Interpolation!$J128*G127,0%)</f>
        <v>1.4424000000000001E-2</v>
      </c>
    </row>
    <row r="128" spans="1:19" x14ac:dyDescent="0.25">
      <c r="A128" s="1">
        <v>127</v>
      </c>
      <c r="B128" s="3">
        <v>3.6360000000000003E-2</v>
      </c>
      <c r="C128" s="3">
        <v>3.662E-2</v>
      </c>
      <c r="D128" s="3">
        <v>1.7600000000000001E-2</v>
      </c>
      <c r="E128" s="3">
        <v>3.644E-2</v>
      </c>
      <c r="F128" s="3">
        <v>3.7659999999999999E-2</v>
      </c>
      <c r="G128" s="3">
        <v>1.805E-2</v>
      </c>
      <c r="H128" s="15">
        <f>B128+MAX(Interpolation!$I129*B128,1%)</f>
        <v>4.6360000000000005E-2</v>
      </c>
      <c r="I128" s="15">
        <f>C128+MAX(Interpolation!$I129*C128,1%)</f>
        <v>4.6620000000000002E-2</v>
      </c>
      <c r="J128" s="15">
        <f>D128+MAX(Interpolation!$I129*D128,1%)</f>
        <v>2.76E-2</v>
      </c>
      <c r="K128" s="15">
        <f>E128+MAX(Interpolation!$I129*E128,1%)</f>
        <v>4.6440000000000002E-2</v>
      </c>
      <c r="L128" s="15">
        <f>F128+MAX(Interpolation!$I129*F128,1%)</f>
        <v>4.7660000000000001E-2</v>
      </c>
      <c r="M128" s="15">
        <f>G128+MAX(Interpolation!$I129*G128,1%)</f>
        <v>2.8049999999999999E-2</v>
      </c>
      <c r="N128" s="15">
        <f>B128-MAX(Interpolation!$J129*B128,0%)</f>
        <v>2.9088000000000003E-2</v>
      </c>
      <c r="O128" s="15">
        <f>C128-MAX(Interpolation!$J129*C128,0%)</f>
        <v>2.9295999999999999E-2</v>
      </c>
      <c r="P128" s="15">
        <f>D128-MAX(Interpolation!$J129*D128,0%)</f>
        <v>1.4080000000000001E-2</v>
      </c>
      <c r="Q128" s="15">
        <f>E128-MAX(Interpolation!$J129*E128,0%)</f>
        <v>2.9152000000000001E-2</v>
      </c>
      <c r="R128" s="15">
        <f>F128-MAX(Interpolation!$J129*F128,0%)</f>
        <v>3.0127999999999999E-2</v>
      </c>
      <c r="S128" s="15">
        <f>G128-MAX(Interpolation!$J129*G128,0%)</f>
        <v>1.444E-2</v>
      </c>
    </row>
    <row r="129" spans="1:19" x14ac:dyDescent="0.25">
      <c r="A129" s="1">
        <v>128</v>
      </c>
      <c r="B129" s="3">
        <v>3.6400000000000002E-2</v>
      </c>
      <c r="C129" s="3">
        <v>3.6659999999999998E-2</v>
      </c>
      <c r="D129" s="3">
        <v>1.762E-2</v>
      </c>
      <c r="E129" s="3">
        <v>3.6479999999999999E-2</v>
      </c>
      <c r="F129" s="3">
        <v>3.7679999999999998E-2</v>
      </c>
      <c r="G129" s="3">
        <v>1.8069999999999999E-2</v>
      </c>
      <c r="H129" s="15">
        <f>B129+MAX(Interpolation!$I130*B129,1%)</f>
        <v>4.6400000000000004E-2</v>
      </c>
      <c r="I129" s="15">
        <f>C129+MAX(Interpolation!$I130*C129,1%)</f>
        <v>4.666E-2</v>
      </c>
      <c r="J129" s="15">
        <f>D129+MAX(Interpolation!$I130*D129,1%)</f>
        <v>2.7619999999999999E-2</v>
      </c>
      <c r="K129" s="15">
        <f>E129+MAX(Interpolation!$I130*E129,1%)</f>
        <v>4.648E-2</v>
      </c>
      <c r="L129" s="15">
        <f>F129+MAX(Interpolation!$I130*F129,1%)</f>
        <v>4.768E-2</v>
      </c>
      <c r="M129" s="15">
        <f>G129+MAX(Interpolation!$I130*G129,1%)</f>
        <v>2.8069999999999998E-2</v>
      </c>
      <c r="N129" s="15">
        <f>B129-MAX(Interpolation!$J130*B129,0%)</f>
        <v>2.912E-2</v>
      </c>
      <c r="O129" s="15">
        <f>C129-MAX(Interpolation!$J130*C129,0%)</f>
        <v>2.9328E-2</v>
      </c>
      <c r="P129" s="15">
        <f>D129-MAX(Interpolation!$J130*D129,0%)</f>
        <v>1.4096000000000001E-2</v>
      </c>
      <c r="Q129" s="15">
        <f>E129-MAX(Interpolation!$J130*E129,0%)</f>
        <v>2.9183999999999998E-2</v>
      </c>
      <c r="R129" s="15">
        <f>F129-MAX(Interpolation!$J130*F129,0%)</f>
        <v>3.0143999999999997E-2</v>
      </c>
      <c r="S129" s="15">
        <f>G129-MAX(Interpolation!$J130*G129,0%)</f>
        <v>1.4456E-2</v>
      </c>
    </row>
    <row r="130" spans="1:19" x14ac:dyDescent="0.25">
      <c r="A130" s="1">
        <v>129</v>
      </c>
      <c r="B130" s="3">
        <v>3.6450000000000003E-2</v>
      </c>
      <c r="C130" s="3">
        <v>3.6679999999999997E-2</v>
      </c>
      <c r="D130" s="3">
        <v>1.7639999999999999E-2</v>
      </c>
      <c r="E130" s="3">
        <v>3.653E-2</v>
      </c>
      <c r="F130" s="3">
        <v>3.7699999999999997E-2</v>
      </c>
      <c r="G130" s="3">
        <v>1.8089999999999998E-2</v>
      </c>
      <c r="H130" s="15">
        <f>B130+MAX(Interpolation!$I131*B130,1%)</f>
        <v>4.6450000000000005E-2</v>
      </c>
      <c r="I130" s="15">
        <f>C130+MAX(Interpolation!$I131*C130,1%)</f>
        <v>4.6679999999999999E-2</v>
      </c>
      <c r="J130" s="15">
        <f>D130+MAX(Interpolation!$I131*D130,1%)</f>
        <v>2.7639999999999998E-2</v>
      </c>
      <c r="K130" s="15">
        <f>E130+MAX(Interpolation!$I131*E130,1%)</f>
        <v>4.6530000000000002E-2</v>
      </c>
      <c r="L130" s="15">
        <f>F130+MAX(Interpolation!$I131*F130,1%)</f>
        <v>4.7699999999999999E-2</v>
      </c>
      <c r="M130" s="15">
        <f>G130+MAX(Interpolation!$I131*G130,1%)</f>
        <v>2.8089999999999997E-2</v>
      </c>
      <c r="N130" s="15">
        <f>B130-MAX(Interpolation!$J131*B130,0%)</f>
        <v>2.9160000000000002E-2</v>
      </c>
      <c r="O130" s="15">
        <f>C130-MAX(Interpolation!$J131*C130,0%)</f>
        <v>2.9343999999999999E-2</v>
      </c>
      <c r="P130" s="15">
        <f>D130-MAX(Interpolation!$J131*D130,0%)</f>
        <v>1.4112E-2</v>
      </c>
      <c r="Q130" s="15">
        <f>E130-MAX(Interpolation!$J131*E130,0%)</f>
        <v>2.9224E-2</v>
      </c>
      <c r="R130" s="15">
        <f>F130-MAX(Interpolation!$J131*F130,0%)</f>
        <v>3.0159999999999999E-2</v>
      </c>
      <c r="S130" s="15">
        <f>G130-MAX(Interpolation!$J131*G130,0%)</f>
        <v>1.4471999999999999E-2</v>
      </c>
    </row>
    <row r="131" spans="1:19" x14ac:dyDescent="0.25">
      <c r="A131" s="2">
        <v>130</v>
      </c>
      <c r="B131" s="4">
        <v>3.6490000000000002E-2</v>
      </c>
      <c r="C131" s="4">
        <v>3.671E-2</v>
      </c>
      <c r="D131" s="4">
        <v>1.7659999999999999E-2</v>
      </c>
      <c r="E131" s="4">
        <v>3.6569999999999998E-2</v>
      </c>
      <c r="F131" s="4">
        <v>3.7719999999999997E-2</v>
      </c>
      <c r="G131" s="4">
        <v>1.8100000000000002E-2</v>
      </c>
      <c r="H131" s="15">
        <f>B131+MAX(Interpolation!$I132*B131,1%)</f>
        <v>4.6490000000000004E-2</v>
      </c>
      <c r="I131" s="15">
        <f>C131+MAX(Interpolation!$I132*C131,1%)</f>
        <v>4.6710000000000002E-2</v>
      </c>
      <c r="J131" s="15">
        <f>D131+MAX(Interpolation!$I132*D131,1%)</f>
        <v>2.7659999999999997E-2</v>
      </c>
      <c r="K131" s="15">
        <f>E131+MAX(Interpolation!$I132*E131,1%)</f>
        <v>4.657E-2</v>
      </c>
      <c r="L131" s="15">
        <f>F131+MAX(Interpolation!$I132*F131,1%)</f>
        <v>4.7719999999999999E-2</v>
      </c>
      <c r="M131" s="15">
        <f>G131+MAX(Interpolation!$I132*G131,1%)</f>
        <v>2.81E-2</v>
      </c>
      <c r="N131" s="15">
        <f>B131-MAX(Interpolation!$J132*B131,0%)</f>
        <v>2.9192000000000003E-2</v>
      </c>
      <c r="O131" s="15">
        <f>C131-MAX(Interpolation!$J132*C131,0%)</f>
        <v>2.9367999999999998E-2</v>
      </c>
      <c r="P131" s="15">
        <f>D131-MAX(Interpolation!$J132*D131,0%)</f>
        <v>1.4127999999999998E-2</v>
      </c>
      <c r="Q131" s="15">
        <f>E131-MAX(Interpolation!$J132*E131,0%)</f>
        <v>2.9255999999999997E-2</v>
      </c>
      <c r="R131" s="15">
        <f>F131-MAX(Interpolation!$J132*F131,0%)</f>
        <v>3.0175999999999998E-2</v>
      </c>
      <c r="S131" s="15">
        <f>G131-MAX(Interpolation!$J132*G131,0%)</f>
        <v>1.4480000000000002E-2</v>
      </c>
    </row>
    <row r="132" spans="1:19" x14ac:dyDescent="0.25">
      <c r="A132" s="1">
        <v>131</v>
      </c>
      <c r="B132" s="3">
        <v>3.653E-2</v>
      </c>
      <c r="C132" s="3">
        <v>3.6740000000000002E-2</v>
      </c>
      <c r="D132" s="3">
        <v>1.7680000000000001E-2</v>
      </c>
      <c r="E132" s="3">
        <v>3.6609999999999997E-2</v>
      </c>
      <c r="F132" s="3">
        <v>3.7740000000000003E-2</v>
      </c>
      <c r="G132" s="3">
        <v>1.8120000000000001E-2</v>
      </c>
      <c r="H132" s="15">
        <f>B132+MAX(Interpolation!$I133*B132,1%)</f>
        <v>4.6530000000000002E-2</v>
      </c>
      <c r="I132" s="15">
        <f>C132+MAX(Interpolation!$I133*C132,1%)</f>
        <v>4.6740000000000004E-2</v>
      </c>
      <c r="J132" s="15">
        <f>D132+MAX(Interpolation!$I133*D132,1%)</f>
        <v>2.7680000000000003E-2</v>
      </c>
      <c r="K132" s="15">
        <f>E132+MAX(Interpolation!$I133*E132,1%)</f>
        <v>4.6609999999999999E-2</v>
      </c>
      <c r="L132" s="15">
        <f>F132+MAX(Interpolation!$I133*F132,1%)</f>
        <v>4.7740000000000005E-2</v>
      </c>
      <c r="M132" s="15">
        <f>G132+MAX(Interpolation!$I133*G132,1%)</f>
        <v>2.8119999999999999E-2</v>
      </c>
      <c r="N132" s="15">
        <f>B132-MAX(Interpolation!$J133*B132,0%)</f>
        <v>2.9224E-2</v>
      </c>
      <c r="O132" s="15">
        <f>C132-MAX(Interpolation!$J133*C132,0%)</f>
        <v>2.9392000000000001E-2</v>
      </c>
      <c r="P132" s="15">
        <f>D132-MAX(Interpolation!$J133*D132,0%)</f>
        <v>1.4144E-2</v>
      </c>
      <c r="Q132" s="15">
        <f>E132-MAX(Interpolation!$J133*E132,0%)</f>
        <v>2.9287999999999998E-2</v>
      </c>
      <c r="R132" s="15">
        <f>F132-MAX(Interpolation!$J133*F132,0%)</f>
        <v>3.0192000000000004E-2</v>
      </c>
      <c r="S132" s="15">
        <f>G132-MAX(Interpolation!$J133*G132,0%)</f>
        <v>1.4496E-2</v>
      </c>
    </row>
    <row r="133" spans="1:19" x14ac:dyDescent="0.25">
      <c r="A133" s="1">
        <v>132</v>
      </c>
      <c r="B133" s="3">
        <v>3.6569999999999998E-2</v>
      </c>
      <c r="C133" s="3">
        <v>3.6769999999999997E-2</v>
      </c>
      <c r="D133" s="3">
        <v>1.77E-2</v>
      </c>
      <c r="E133" s="3">
        <v>3.6650000000000002E-2</v>
      </c>
      <c r="F133" s="3">
        <v>3.7760000000000002E-2</v>
      </c>
      <c r="G133" s="3">
        <v>1.814E-2</v>
      </c>
      <c r="H133" s="15">
        <f>B133+MAX(Interpolation!$I134*B133,1%)</f>
        <v>4.657E-2</v>
      </c>
      <c r="I133" s="15">
        <f>C133+MAX(Interpolation!$I134*C133,1%)</f>
        <v>4.6769999999999999E-2</v>
      </c>
      <c r="J133" s="15">
        <f>D133+MAX(Interpolation!$I134*D133,1%)</f>
        <v>2.7700000000000002E-2</v>
      </c>
      <c r="K133" s="15">
        <f>E133+MAX(Interpolation!$I134*E133,1%)</f>
        <v>4.6650000000000004E-2</v>
      </c>
      <c r="L133" s="15">
        <f>F133+MAX(Interpolation!$I134*F133,1%)</f>
        <v>4.7760000000000004E-2</v>
      </c>
      <c r="M133" s="15">
        <f>G133+MAX(Interpolation!$I134*G133,1%)</f>
        <v>2.8139999999999998E-2</v>
      </c>
      <c r="N133" s="15">
        <f>B133-MAX(Interpolation!$J134*B133,0%)</f>
        <v>2.9255999999999997E-2</v>
      </c>
      <c r="O133" s="15">
        <f>C133-MAX(Interpolation!$J134*C133,0%)</f>
        <v>2.9415999999999998E-2</v>
      </c>
      <c r="P133" s="15">
        <f>D133-MAX(Interpolation!$J134*D133,0%)</f>
        <v>1.4160000000000001E-2</v>
      </c>
      <c r="Q133" s="15">
        <f>E133-MAX(Interpolation!$J134*E133,0%)</f>
        <v>2.9320000000000002E-2</v>
      </c>
      <c r="R133" s="15">
        <f>F133-MAX(Interpolation!$J134*F133,0%)</f>
        <v>3.0208000000000002E-2</v>
      </c>
      <c r="S133" s="15">
        <f>G133-MAX(Interpolation!$J134*G133,0%)</f>
        <v>1.4512000000000001E-2</v>
      </c>
    </row>
    <row r="134" spans="1:19" x14ac:dyDescent="0.25">
      <c r="A134" s="1">
        <v>133</v>
      </c>
      <c r="B134" s="3">
        <v>3.6609999999999997E-2</v>
      </c>
      <c r="C134" s="3">
        <v>3.6799999999999999E-2</v>
      </c>
      <c r="D134" s="3">
        <v>1.772E-2</v>
      </c>
      <c r="E134" s="3">
        <v>3.669E-2</v>
      </c>
      <c r="F134" s="3">
        <v>3.7780000000000001E-2</v>
      </c>
      <c r="G134" s="3">
        <v>1.8159999999999999E-2</v>
      </c>
      <c r="H134" s="15">
        <f>B134+MAX(Interpolation!$I135*B134,1%)</f>
        <v>4.6609999999999999E-2</v>
      </c>
      <c r="I134" s="15">
        <f>C134+MAX(Interpolation!$I135*C134,1%)</f>
        <v>4.6800000000000001E-2</v>
      </c>
      <c r="J134" s="15">
        <f>D134+MAX(Interpolation!$I135*D134,1%)</f>
        <v>2.7720000000000002E-2</v>
      </c>
      <c r="K134" s="15">
        <f>E134+MAX(Interpolation!$I135*E134,1%)</f>
        <v>4.6690000000000002E-2</v>
      </c>
      <c r="L134" s="15">
        <f>F134+MAX(Interpolation!$I135*F134,1%)</f>
        <v>4.7780000000000003E-2</v>
      </c>
      <c r="M134" s="15">
        <f>G134+MAX(Interpolation!$I135*G134,1%)</f>
        <v>2.8159999999999998E-2</v>
      </c>
      <c r="N134" s="15">
        <f>B134-MAX(Interpolation!$J135*B134,0%)</f>
        <v>2.9287999999999998E-2</v>
      </c>
      <c r="O134" s="15">
        <f>C134-MAX(Interpolation!$J135*C134,0%)</f>
        <v>2.9440000000000001E-2</v>
      </c>
      <c r="P134" s="15">
        <f>D134-MAX(Interpolation!$J135*D134,0%)</f>
        <v>1.4175999999999999E-2</v>
      </c>
      <c r="Q134" s="15">
        <f>E134-MAX(Interpolation!$J135*E134,0%)</f>
        <v>2.9352E-2</v>
      </c>
      <c r="R134" s="15">
        <f>F134-MAX(Interpolation!$J135*F134,0%)</f>
        <v>3.0224000000000001E-2</v>
      </c>
      <c r="S134" s="15">
        <f>G134-MAX(Interpolation!$J135*G134,0%)</f>
        <v>1.4527999999999999E-2</v>
      </c>
    </row>
    <row r="135" spans="1:19" x14ac:dyDescent="0.25">
      <c r="A135" s="1">
        <v>134</v>
      </c>
      <c r="B135" s="3">
        <v>3.6650000000000002E-2</v>
      </c>
      <c r="C135" s="3">
        <v>3.6830000000000002E-2</v>
      </c>
      <c r="D135" s="3">
        <v>1.7739999999999999E-2</v>
      </c>
      <c r="E135" s="3">
        <v>3.6729999999999999E-2</v>
      </c>
      <c r="F135" s="3">
        <v>3.78E-2</v>
      </c>
      <c r="G135" s="3">
        <v>1.8169999999999999E-2</v>
      </c>
      <c r="H135" s="15">
        <f>B135+MAX(Interpolation!$I136*B135,1%)</f>
        <v>4.6650000000000004E-2</v>
      </c>
      <c r="I135" s="15">
        <f>C135+MAX(Interpolation!$I136*C135,1%)</f>
        <v>4.6830000000000004E-2</v>
      </c>
      <c r="J135" s="15">
        <f>D135+MAX(Interpolation!$I136*D135,1%)</f>
        <v>2.7740000000000001E-2</v>
      </c>
      <c r="K135" s="15">
        <f>E135+MAX(Interpolation!$I136*E135,1%)</f>
        <v>4.6730000000000001E-2</v>
      </c>
      <c r="L135" s="15">
        <f>F135+MAX(Interpolation!$I136*F135,1%)</f>
        <v>4.7800000000000002E-2</v>
      </c>
      <c r="M135" s="15">
        <f>G135+MAX(Interpolation!$I136*G135,1%)</f>
        <v>2.8170000000000001E-2</v>
      </c>
      <c r="N135" s="15">
        <f>B135-MAX(Interpolation!$J136*B135,0%)</f>
        <v>2.9320000000000002E-2</v>
      </c>
      <c r="O135" s="15">
        <f>C135-MAX(Interpolation!$J136*C135,0%)</f>
        <v>2.9464000000000001E-2</v>
      </c>
      <c r="P135" s="15">
        <f>D135-MAX(Interpolation!$J136*D135,0%)</f>
        <v>1.4192E-2</v>
      </c>
      <c r="Q135" s="15">
        <f>E135-MAX(Interpolation!$J136*E135,0%)</f>
        <v>2.9384E-2</v>
      </c>
      <c r="R135" s="15">
        <f>F135-MAX(Interpolation!$J136*F135,0%)</f>
        <v>3.024E-2</v>
      </c>
      <c r="S135" s="15">
        <f>G135-MAX(Interpolation!$J136*G135,0%)</f>
        <v>1.4535999999999999E-2</v>
      </c>
    </row>
    <row r="136" spans="1:19" x14ac:dyDescent="0.25">
      <c r="A136" s="2">
        <v>135</v>
      </c>
      <c r="B136" s="4">
        <v>3.669E-2</v>
      </c>
      <c r="C136" s="4">
        <v>3.6850000000000001E-2</v>
      </c>
      <c r="D136" s="4">
        <v>1.7760000000000001E-2</v>
      </c>
      <c r="E136" s="4">
        <v>3.6769999999999997E-2</v>
      </c>
      <c r="F136" s="4">
        <v>3.7819999999999999E-2</v>
      </c>
      <c r="G136" s="4">
        <v>1.8190000000000001E-2</v>
      </c>
      <c r="H136" s="15">
        <f>B136+MAX(Interpolation!$I137*B136,1%)</f>
        <v>4.6690000000000002E-2</v>
      </c>
      <c r="I136" s="15">
        <f>C136+MAX(Interpolation!$I137*C136,1%)</f>
        <v>4.6850000000000003E-2</v>
      </c>
      <c r="J136" s="15">
        <f>D136+MAX(Interpolation!$I137*D136,1%)</f>
        <v>2.776E-2</v>
      </c>
      <c r="K136" s="15">
        <f>E136+MAX(Interpolation!$I137*E136,1%)</f>
        <v>4.6769999999999999E-2</v>
      </c>
      <c r="L136" s="15">
        <f>F136+MAX(Interpolation!$I137*F136,1%)</f>
        <v>4.7820000000000001E-2</v>
      </c>
      <c r="M136" s="15">
        <f>G136+MAX(Interpolation!$I137*G136,1%)</f>
        <v>2.819E-2</v>
      </c>
      <c r="N136" s="15">
        <f>B136-MAX(Interpolation!$J137*B136,0%)</f>
        <v>2.9352E-2</v>
      </c>
      <c r="O136" s="15">
        <f>C136-MAX(Interpolation!$J137*C136,0%)</f>
        <v>2.9479999999999999E-2</v>
      </c>
      <c r="P136" s="15">
        <f>D136-MAX(Interpolation!$J137*D136,0%)</f>
        <v>1.4208000000000002E-2</v>
      </c>
      <c r="Q136" s="15">
        <f>E136-MAX(Interpolation!$J137*E136,0%)</f>
        <v>2.9415999999999998E-2</v>
      </c>
      <c r="R136" s="15">
        <f>F136-MAX(Interpolation!$J137*F136,0%)</f>
        <v>3.0255999999999998E-2</v>
      </c>
      <c r="S136" s="15">
        <f>G136-MAX(Interpolation!$J137*G136,0%)</f>
        <v>1.4552000000000001E-2</v>
      </c>
    </row>
    <row r="137" spans="1:19" x14ac:dyDescent="0.25">
      <c r="A137" s="1">
        <v>136</v>
      </c>
      <c r="B137" s="3">
        <v>3.6729999999999999E-2</v>
      </c>
      <c r="C137" s="3">
        <v>3.6880000000000003E-2</v>
      </c>
      <c r="D137" s="3">
        <v>1.7780000000000001E-2</v>
      </c>
      <c r="E137" s="3">
        <v>3.6810000000000002E-2</v>
      </c>
      <c r="F137" s="3">
        <v>3.7839999999999999E-2</v>
      </c>
      <c r="G137" s="3">
        <v>1.821E-2</v>
      </c>
      <c r="H137" s="15">
        <f>B137+MAX(Interpolation!$I138*B137,1%)</f>
        <v>4.6730000000000001E-2</v>
      </c>
      <c r="I137" s="15">
        <f>C137+MAX(Interpolation!$I138*C137,1%)</f>
        <v>4.6880000000000005E-2</v>
      </c>
      <c r="J137" s="15">
        <f>D137+MAX(Interpolation!$I138*D137,1%)</f>
        <v>2.7779999999999999E-2</v>
      </c>
      <c r="K137" s="15">
        <f>E137+MAX(Interpolation!$I138*E137,1%)</f>
        <v>4.6810000000000004E-2</v>
      </c>
      <c r="L137" s="15">
        <f>F137+MAX(Interpolation!$I138*F137,1%)</f>
        <v>4.7840000000000001E-2</v>
      </c>
      <c r="M137" s="15">
        <f>G137+MAX(Interpolation!$I138*G137,1%)</f>
        <v>2.8209999999999999E-2</v>
      </c>
      <c r="N137" s="15">
        <f>B137-MAX(Interpolation!$J138*B137,0%)</f>
        <v>2.9384E-2</v>
      </c>
      <c r="O137" s="15">
        <f>C137-MAX(Interpolation!$J138*C137,0%)</f>
        <v>2.9504000000000002E-2</v>
      </c>
      <c r="P137" s="15">
        <f>D137-MAX(Interpolation!$J138*D137,0%)</f>
        <v>1.4224000000000001E-2</v>
      </c>
      <c r="Q137" s="15">
        <f>E137-MAX(Interpolation!$J138*E137,0%)</f>
        <v>2.9448000000000002E-2</v>
      </c>
      <c r="R137" s="15">
        <f>F137-MAX(Interpolation!$J138*F137,0%)</f>
        <v>3.0272E-2</v>
      </c>
      <c r="S137" s="15">
        <f>G137-MAX(Interpolation!$J138*G137,0%)</f>
        <v>1.4568000000000001E-2</v>
      </c>
    </row>
    <row r="138" spans="1:19" x14ac:dyDescent="0.25">
      <c r="A138" s="1">
        <v>137</v>
      </c>
      <c r="B138" s="3">
        <v>3.6769999999999997E-2</v>
      </c>
      <c r="C138" s="3">
        <v>3.6909999999999998E-2</v>
      </c>
      <c r="D138" s="3">
        <v>1.78E-2</v>
      </c>
      <c r="E138" s="3">
        <v>3.6850000000000001E-2</v>
      </c>
      <c r="F138" s="3">
        <v>3.7859999999999998E-2</v>
      </c>
      <c r="G138" s="3">
        <v>1.822E-2</v>
      </c>
      <c r="H138" s="15">
        <f>B138+MAX(Interpolation!$I139*B138,1%)</f>
        <v>4.6769999999999999E-2</v>
      </c>
      <c r="I138" s="15">
        <f>C138+MAX(Interpolation!$I139*C138,1%)</f>
        <v>4.691E-2</v>
      </c>
      <c r="J138" s="15">
        <f>D138+MAX(Interpolation!$I139*D138,1%)</f>
        <v>2.7799999999999998E-2</v>
      </c>
      <c r="K138" s="15">
        <f>E138+MAX(Interpolation!$I139*E138,1%)</f>
        <v>4.6850000000000003E-2</v>
      </c>
      <c r="L138" s="15">
        <f>F138+MAX(Interpolation!$I139*F138,1%)</f>
        <v>4.786E-2</v>
      </c>
      <c r="M138" s="15">
        <f>G138+MAX(Interpolation!$I139*G138,1%)</f>
        <v>2.8220000000000002E-2</v>
      </c>
      <c r="N138" s="15">
        <f>B138-MAX(Interpolation!$J139*B138,0%)</f>
        <v>2.9415999999999998E-2</v>
      </c>
      <c r="O138" s="15">
        <f>C138-MAX(Interpolation!$J139*C138,0%)</f>
        <v>2.9527999999999999E-2</v>
      </c>
      <c r="P138" s="15">
        <f>D138-MAX(Interpolation!$J139*D138,0%)</f>
        <v>1.4239999999999999E-2</v>
      </c>
      <c r="Q138" s="15">
        <f>E138-MAX(Interpolation!$J139*E138,0%)</f>
        <v>2.9479999999999999E-2</v>
      </c>
      <c r="R138" s="15">
        <f>F138-MAX(Interpolation!$J139*F138,0%)</f>
        <v>3.0287999999999999E-2</v>
      </c>
      <c r="S138" s="15">
        <f>G138-MAX(Interpolation!$J139*G138,0%)</f>
        <v>1.4576E-2</v>
      </c>
    </row>
    <row r="139" spans="1:19" x14ac:dyDescent="0.25">
      <c r="A139" s="1">
        <v>138</v>
      </c>
      <c r="B139" s="3">
        <v>3.6810000000000002E-2</v>
      </c>
      <c r="C139" s="3">
        <v>3.6929999999999998E-2</v>
      </c>
      <c r="D139" s="3">
        <v>1.7819999999999999E-2</v>
      </c>
      <c r="E139" s="3">
        <v>3.6880000000000003E-2</v>
      </c>
      <c r="F139" s="3">
        <v>3.7879999999999997E-2</v>
      </c>
      <c r="G139" s="3">
        <v>1.8239999999999999E-2</v>
      </c>
      <c r="H139" s="15">
        <f>B139+MAX(Interpolation!$I140*B139,1%)</f>
        <v>4.6810000000000004E-2</v>
      </c>
      <c r="I139" s="15">
        <f>C139+MAX(Interpolation!$I140*C139,1%)</f>
        <v>4.6929999999999999E-2</v>
      </c>
      <c r="J139" s="15">
        <f>D139+MAX(Interpolation!$I140*D139,1%)</f>
        <v>2.7819999999999998E-2</v>
      </c>
      <c r="K139" s="15">
        <f>E139+MAX(Interpolation!$I140*E139,1%)</f>
        <v>4.6880000000000005E-2</v>
      </c>
      <c r="L139" s="15">
        <f>F139+MAX(Interpolation!$I140*F139,1%)</f>
        <v>4.7879999999999999E-2</v>
      </c>
      <c r="M139" s="15">
        <f>G139+MAX(Interpolation!$I140*G139,1%)</f>
        <v>2.8240000000000001E-2</v>
      </c>
      <c r="N139" s="15">
        <f>B139-MAX(Interpolation!$J140*B139,0%)</f>
        <v>2.9448000000000002E-2</v>
      </c>
      <c r="O139" s="15">
        <f>C139-MAX(Interpolation!$J140*C139,0%)</f>
        <v>2.9543999999999997E-2</v>
      </c>
      <c r="P139" s="15">
        <f>D139-MAX(Interpolation!$J140*D139,0%)</f>
        <v>1.4256E-2</v>
      </c>
      <c r="Q139" s="15">
        <f>E139-MAX(Interpolation!$J140*E139,0%)</f>
        <v>2.9504000000000002E-2</v>
      </c>
      <c r="R139" s="15">
        <f>F139-MAX(Interpolation!$J140*F139,0%)</f>
        <v>3.0303999999999998E-2</v>
      </c>
      <c r="S139" s="15">
        <f>G139-MAX(Interpolation!$J140*G139,0%)</f>
        <v>1.4591999999999999E-2</v>
      </c>
    </row>
    <row r="140" spans="1:19" x14ac:dyDescent="0.25">
      <c r="A140" s="1">
        <v>139</v>
      </c>
      <c r="B140" s="3">
        <v>3.6839999999999998E-2</v>
      </c>
      <c r="C140" s="3">
        <v>3.696E-2</v>
      </c>
      <c r="D140" s="3">
        <v>1.7840000000000002E-2</v>
      </c>
      <c r="E140" s="3">
        <v>3.6920000000000001E-2</v>
      </c>
      <c r="F140" s="3">
        <v>3.7900000000000003E-2</v>
      </c>
      <c r="G140" s="3">
        <v>1.8249999999999999E-2</v>
      </c>
      <c r="H140" s="15">
        <f>B140+MAX(Interpolation!$I141*B140,1%)</f>
        <v>4.684E-2</v>
      </c>
      <c r="I140" s="15">
        <f>C140+MAX(Interpolation!$I141*C140,1%)</f>
        <v>4.6960000000000002E-2</v>
      </c>
      <c r="J140" s="15">
        <f>D140+MAX(Interpolation!$I141*D140,1%)</f>
        <v>2.7840000000000004E-2</v>
      </c>
      <c r="K140" s="15">
        <f>E140+MAX(Interpolation!$I141*E140,1%)</f>
        <v>4.6920000000000003E-2</v>
      </c>
      <c r="L140" s="15">
        <f>F140+MAX(Interpolation!$I141*F140,1%)</f>
        <v>4.7900000000000005E-2</v>
      </c>
      <c r="M140" s="15">
        <f>G140+MAX(Interpolation!$I141*G140,1%)</f>
        <v>2.8249999999999997E-2</v>
      </c>
      <c r="N140" s="15">
        <f>B140-MAX(Interpolation!$J141*B140,0%)</f>
        <v>2.9471999999999998E-2</v>
      </c>
      <c r="O140" s="15">
        <f>C140-MAX(Interpolation!$J141*C140,0%)</f>
        <v>2.9568000000000001E-2</v>
      </c>
      <c r="P140" s="15">
        <f>D140-MAX(Interpolation!$J141*D140,0%)</f>
        <v>1.4272000000000002E-2</v>
      </c>
      <c r="Q140" s="15">
        <f>E140-MAX(Interpolation!$J141*E140,0%)</f>
        <v>2.9536E-2</v>
      </c>
      <c r="R140" s="15">
        <f>F140-MAX(Interpolation!$J141*F140,0%)</f>
        <v>3.0320000000000003E-2</v>
      </c>
      <c r="S140" s="15">
        <f>G140-MAX(Interpolation!$J141*G140,0%)</f>
        <v>1.4599999999999998E-2</v>
      </c>
    </row>
    <row r="141" spans="1:19" x14ac:dyDescent="0.25">
      <c r="A141" s="2">
        <v>140</v>
      </c>
      <c r="B141" s="4">
        <v>3.6880000000000003E-2</v>
      </c>
      <c r="C141" s="4">
        <v>3.6979999999999999E-2</v>
      </c>
      <c r="D141" s="4">
        <v>1.7860000000000001E-2</v>
      </c>
      <c r="E141" s="4">
        <v>3.696E-2</v>
      </c>
      <c r="F141" s="4">
        <v>3.7920000000000002E-2</v>
      </c>
      <c r="G141" s="4">
        <v>1.8270000000000002E-2</v>
      </c>
      <c r="H141" s="15">
        <f>B141+MAX(Interpolation!$I142*B141,1%)</f>
        <v>4.6880000000000005E-2</v>
      </c>
      <c r="I141" s="15">
        <f>C141+MAX(Interpolation!$I142*C141,1%)</f>
        <v>4.6980000000000001E-2</v>
      </c>
      <c r="J141" s="15">
        <f>D141+MAX(Interpolation!$I142*D141,1%)</f>
        <v>2.7860000000000003E-2</v>
      </c>
      <c r="K141" s="15">
        <f>E141+MAX(Interpolation!$I142*E141,1%)</f>
        <v>4.6960000000000002E-2</v>
      </c>
      <c r="L141" s="15">
        <f>F141+MAX(Interpolation!$I142*F141,1%)</f>
        <v>4.7920000000000004E-2</v>
      </c>
      <c r="M141" s="15">
        <f>G141+MAX(Interpolation!$I142*G141,1%)</f>
        <v>2.8270000000000003E-2</v>
      </c>
      <c r="N141" s="15">
        <f>B141-MAX(Interpolation!$J142*B141,0%)</f>
        <v>2.9504000000000002E-2</v>
      </c>
      <c r="O141" s="15">
        <f>C141-MAX(Interpolation!$J142*C141,0%)</f>
        <v>2.9583999999999999E-2</v>
      </c>
      <c r="P141" s="15">
        <f>D141-MAX(Interpolation!$J142*D141,0%)</f>
        <v>1.4288E-2</v>
      </c>
      <c r="Q141" s="15">
        <f>E141-MAX(Interpolation!$J142*E141,0%)</f>
        <v>2.9568000000000001E-2</v>
      </c>
      <c r="R141" s="15">
        <f>F141-MAX(Interpolation!$J142*F141,0%)</f>
        <v>3.0336000000000002E-2</v>
      </c>
      <c r="S141" s="15">
        <f>G141-MAX(Interpolation!$J142*G141,0%)</f>
        <v>1.4616000000000001E-2</v>
      </c>
    </row>
    <row r="142" spans="1:19" x14ac:dyDescent="0.25">
      <c r="A142" s="1">
        <v>141</v>
      </c>
      <c r="B142" s="3">
        <v>3.6920000000000001E-2</v>
      </c>
      <c r="C142" s="3">
        <v>3.7010000000000001E-2</v>
      </c>
      <c r="D142" s="3">
        <v>1.787E-2</v>
      </c>
      <c r="E142" s="3">
        <v>3.6990000000000002E-2</v>
      </c>
      <c r="F142" s="3">
        <v>3.7940000000000002E-2</v>
      </c>
      <c r="G142" s="3">
        <v>1.8280000000000001E-2</v>
      </c>
      <c r="H142" s="15">
        <f>B142+MAX(Interpolation!$I143*B142,1%)</f>
        <v>4.6920000000000003E-2</v>
      </c>
      <c r="I142" s="15">
        <f>C142+MAX(Interpolation!$I143*C142,1%)</f>
        <v>4.7010000000000003E-2</v>
      </c>
      <c r="J142" s="15">
        <f>D142+MAX(Interpolation!$I143*D142,1%)</f>
        <v>2.7869999999999999E-2</v>
      </c>
      <c r="K142" s="15">
        <f>E142+MAX(Interpolation!$I143*E142,1%)</f>
        <v>4.6990000000000004E-2</v>
      </c>
      <c r="L142" s="15">
        <f>F142+MAX(Interpolation!$I143*F142,1%)</f>
        <v>4.7940000000000003E-2</v>
      </c>
      <c r="M142" s="15">
        <f>G142+MAX(Interpolation!$I143*G142,1%)</f>
        <v>2.828E-2</v>
      </c>
      <c r="N142" s="15">
        <f>B142-MAX(Interpolation!$J143*B142,0%)</f>
        <v>2.9536E-2</v>
      </c>
      <c r="O142" s="15">
        <f>C142-MAX(Interpolation!$J143*C142,0%)</f>
        <v>2.9608000000000002E-2</v>
      </c>
      <c r="P142" s="15">
        <f>D142-MAX(Interpolation!$J143*D142,0%)</f>
        <v>1.4296E-2</v>
      </c>
      <c r="Q142" s="15">
        <f>E142-MAX(Interpolation!$J143*E142,0%)</f>
        <v>2.9592E-2</v>
      </c>
      <c r="R142" s="15">
        <f>F142-MAX(Interpolation!$J143*F142,0%)</f>
        <v>3.0352000000000001E-2</v>
      </c>
      <c r="S142" s="15">
        <f>G142-MAX(Interpolation!$J143*G142,0%)</f>
        <v>1.4624000000000002E-2</v>
      </c>
    </row>
    <row r="143" spans="1:19" x14ac:dyDescent="0.25">
      <c r="A143" s="1">
        <v>142</v>
      </c>
      <c r="B143" s="3">
        <v>3.6949999999999997E-2</v>
      </c>
      <c r="C143" s="3">
        <v>3.703E-2</v>
      </c>
      <c r="D143" s="3">
        <v>1.789E-2</v>
      </c>
      <c r="E143" s="3">
        <v>3.703E-2</v>
      </c>
      <c r="F143" s="3">
        <v>3.7960000000000001E-2</v>
      </c>
      <c r="G143" s="3">
        <v>1.83E-2</v>
      </c>
      <c r="H143" s="15">
        <f>B143+MAX(Interpolation!$I144*B143,1%)</f>
        <v>4.6949999999999999E-2</v>
      </c>
      <c r="I143" s="15">
        <f>C143+MAX(Interpolation!$I144*C143,1%)</f>
        <v>4.7030000000000002E-2</v>
      </c>
      <c r="J143" s="15">
        <f>D143+MAX(Interpolation!$I144*D143,1%)</f>
        <v>2.7889999999999998E-2</v>
      </c>
      <c r="K143" s="15">
        <f>E143+MAX(Interpolation!$I144*E143,1%)</f>
        <v>4.7030000000000002E-2</v>
      </c>
      <c r="L143" s="15">
        <f>F143+MAX(Interpolation!$I144*F143,1%)</f>
        <v>4.7960000000000003E-2</v>
      </c>
      <c r="M143" s="15">
        <f>G143+MAX(Interpolation!$I144*G143,1%)</f>
        <v>2.8299999999999999E-2</v>
      </c>
      <c r="N143" s="15">
        <f>B143-MAX(Interpolation!$J144*B143,0%)</f>
        <v>2.9559999999999996E-2</v>
      </c>
      <c r="O143" s="15">
        <f>C143-MAX(Interpolation!$J144*C143,0%)</f>
        <v>2.9624000000000001E-2</v>
      </c>
      <c r="P143" s="15">
        <f>D143-MAX(Interpolation!$J144*D143,0%)</f>
        <v>1.4312E-2</v>
      </c>
      <c r="Q143" s="15">
        <f>E143-MAX(Interpolation!$J144*E143,0%)</f>
        <v>2.9624000000000001E-2</v>
      </c>
      <c r="R143" s="15">
        <f>F143-MAX(Interpolation!$J144*F143,0%)</f>
        <v>3.0367999999999999E-2</v>
      </c>
      <c r="S143" s="15">
        <f>G143-MAX(Interpolation!$J144*G143,0%)</f>
        <v>1.464E-2</v>
      </c>
    </row>
    <row r="144" spans="1:19" x14ac:dyDescent="0.25">
      <c r="A144" s="1">
        <v>143</v>
      </c>
      <c r="B144" s="3">
        <v>3.6990000000000002E-2</v>
      </c>
      <c r="C144" s="3">
        <v>3.7060000000000003E-2</v>
      </c>
      <c r="D144" s="3">
        <v>1.7909999999999999E-2</v>
      </c>
      <c r="E144" s="3">
        <v>3.7060000000000003E-2</v>
      </c>
      <c r="F144" s="3">
        <v>3.7969999999999997E-2</v>
      </c>
      <c r="G144" s="3">
        <v>1.831E-2</v>
      </c>
      <c r="H144" s="15">
        <f>B144+MAX(Interpolation!$I145*B144,1%)</f>
        <v>4.6990000000000004E-2</v>
      </c>
      <c r="I144" s="15">
        <f>C144+MAX(Interpolation!$I145*C144,1%)</f>
        <v>4.7060000000000005E-2</v>
      </c>
      <c r="J144" s="15">
        <f>D144+MAX(Interpolation!$I145*D144,1%)</f>
        <v>2.7909999999999997E-2</v>
      </c>
      <c r="K144" s="15">
        <f>E144+MAX(Interpolation!$I145*E144,1%)</f>
        <v>4.7060000000000005E-2</v>
      </c>
      <c r="L144" s="15">
        <f>F144+MAX(Interpolation!$I145*F144,1%)</f>
        <v>4.7969999999999999E-2</v>
      </c>
      <c r="M144" s="15">
        <f>G144+MAX(Interpolation!$I145*G144,1%)</f>
        <v>2.8310000000000002E-2</v>
      </c>
      <c r="N144" s="15">
        <f>B144-MAX(Interpolation!$J145*B144,0%)</f>
        <v>2.9592E-2</v>
      </c>
      <c r="O144" s="15">
        <f>C144-MAX(Interpolation!$J145*C144,0%)</f>
        <v>2.9648000000000001E-2</v>
      </c>
      <c r="P144" s="15">
        <f>D144-MAX(Interpolation!$J145*D144,0%)</f>
        <v>1.4327999999999999E-2</v>
      </c>
      <c r="Q144" s="15">
        <f>E144-MAX(Interpolation!$J145*E144,0%)</f>
        <v>2.9648000000000001E-2</v>
      </c>
      <c r="R144" s="15">
        <f>F144-MAX(Interpolation!$J145*F144,0%)</f>
        <v>3.0375999999999997E-2</v>
      </c>
      <c r="S144" s="15">
        <f>G144-MAX(Interpolation!$J145*G144,0%)</f>
        <v>1.4648E-2</v>
      </c>
    </row>
    <row r="145" spans="1:19" x14ac:dyDescent="0.25">
      <c r="A145" s="1">
        <v>144</v>
      </c>
      <c r="B145" s="3">
        <v>3.7019999999999997E-2</v>
      </c>
      <c r="C145" s="3">
        <v>3.7080000000000002E-2</v>
      </c>
      <c r="D145" s="3">
        <v>1.7930000000000001E-2</v>
      </c>
      <c r="E145" s="3">
        <v>3.7100000000000001E-2</v>
      </c>
      <c r="F145" s="3">
        <v>3.7990000000000003E-2</v>
      </c>
      <c r="G145" s="3">
        <v>1.8329999999999999E-2</v>
      </c>
      <c r="H145" s="15">
        <f>B145+MAX(Interpolation!$I146*B145,1%)</f>
        <v>4.7019999999999999E-2</v>
      </c>
      <c r="I145" s="15">
        <f>C145+MAX(Interpolation!$I146*C145,1%)</f>
        <v>4.7080000000000004E-2</v>
      </c>
      <c r="J145" s="15">
        <f>D145+MAX(Interpolation!$I146*D145,1%)</f>
        <v>2.7930000000000003E-2</v>
      </c>
      <c r="K145" s="15">
        <f>E145+MAX(Interpolation!$I146*E145,1%)</f>
        <v>4.7100000000000003E-2</v>
      </c>
      <c r="L145" s="15">
        <f>F145+MAX(Interpolation!$I146*F145,1%)</f>
        <v>4.7990000000000005E-2</v>
      </c>
      <c r="M145" s="15">
        <f>G145+MAX(Interpolation!$I146*G145,1%)</f>
        <v>2.8330000000000001E-2</v>
      </c>
      <c r="N145" s="15">
        <f>B145-MAX(Interpolation!$J146*B145,0%)</f>
        <v>2.9615999999999996E-2</v>
      </c>
      <c r="O145" s="15">
        <f>C145-MAX(Interpolation!$J146*C145,0%)</f>
        <v>2.9664000000000003E-2</v>
      </c>
      <c r="P145" s="15">
        <f>D145-MAX(Interpolation!$J146*D145,0%)</f>
        <v>1.4344000000000001E-2</v>
      </c>
      <c r="Q145" s="15">
        <f>E145-MAX(Interpolation!$J146*E145,0%)</f>
        <v>2.9680000000000002E-2</v>
      </c>
      <c r="R145" s="15">
        <f>F145-MAX(Interpolation!$J146*F145,0%)</f>
        <v>3.0392000000000002E-2</v>
      </c>
      <c r="S145" s="15">
        <f>G145-MAX(Interpolation!$J146*G145,0%)</f>
        <v>1.4664E-2</v>
      </c>
    </row>
    <row r="146" spans="1:19" x14ac:dyDescent="0.25">
      <c r="A146" s="2">
        <v>145</v>
      </c>
      <c r="B146" s="4">
        <v>3.7060000000000003E-2</v>
      </c>
      <c r="C146" s="4">
        <v>3.7109999999999997E-2</v>
      </c>
      <c r="D146" s="4">
        <v>1.7940000000000001E-2</v>
      </c>
      <c r="E146" s="4">
        <v>3.7130000000000003E-2</v>
      </c>
      <c r="F146" s="4">
        <v>3.8010000000000002E-2</v>
      </c>
      <c r="G146" s="4">
        <v>1.8339999999999999E-2</v>
      </c>
      <c r="H146" s="15">
        <f>B146+MAX(Interpolation!$I147*B146,1%)</f>
        <v>4.7060000000000005E-2</v>
      </c>
      <c r="I146" s="15">
        <f>C146+MAX(Interpolation!$I147*C146,1%)</f>
        <v>4.7109999999999999E-2</v>
      </c>
      <c r="J146" s="15">
        <f>D146+MAX(Interpolation!$I147*D146,1%)</f>
        <v>2.794E-2</v>
      </c>
      <c r="K146" s="15">
        <f>E146+MAX(Interpolation!$I147*E146,1%)</f>
        <v>4.7130000000000005E-2</v>
      </c>
      <c r="L146" s="15">
        <f>F146+MAX(Interpolation!$I147*F146,1%)</f>
        <v>4.8010000000000004E-2</v>
      </c>
      <c r="M146" s="15">
        <f>G146+MAX(Interpolation!$I147*G146,1%)</f>
        <v>2.8339999999999997E-2</v>
      </c>
      <c r="N146" s="15">
        <f>B146-MAX(Interpolation!$J147*B146,0%)</f>
        <v>2.9648000000000001E-2</v>
      </c>
      <c r="O146" s="15">
        <f>C146-MAX(Interpolation!$J147*C146,0%)</f>
        <v>2.9687999999999999E-2</v>
      </c>
      <c r="P146" s="15">
        <f>D146-MAX(Interpolation!$J147*D146,0%)</f>
        <v>1.4352E-2</v>
      </c>
      <c r="Q146" s="15">
        <f>E146-MAX(Interpolation!$J147*E146,0%)</f>
        <v>2.9704000000000001E-2</v>
      </c>
      <c r="R146" s="15">
        <f>F146-MAX(Interpolation!$J147*F146,0%)</f>
        <v>3.0408000000000001E-2</v>
      </c>
      <c r="S146" s="15">
        <f>G146-MAX(Interpolation!$J147*G146,0%)</f>
        <v>1.4671999999999999E-2</v>
      </c>
    </row>
    <row r="147" spans="1:19" x14ac:dyDescent="0.25">
      <c r="A147" s="1">
        <v>146</v>
      </c>
      <c r="B147" s="3">
        <v>3.7089999999999998E-2</v>
      </c>
      <c r="C147" s="3">
        <v>3.7130000000000003E-2</v>
      </c>
      <c r="D147" s="3">
        <v>1.796E-2</v>
      </c>
      <c r="E147" s="3">
        <v>3.7159999999999999E-2</v>
      </c>
      <c r="F147" s="3">
        <v>3.8030000000000001E-2</v>
      </c>
      <c r="G147" s="3">
        <v>1.8360000000000001E-2</v>
      </c>
      <c r="H147" s="15">
        <f>B147+MAX(Interpolation!$I148*B147,1%)</f>
        <v>4.709E-2</v>
      </c>
      <c r="I147" s="15">
        <f>C147+MAX(Interpolation!$I148*C147,1%)</f>
        <v>4.7130000000000005E-2</v>
      </c>
      <c r="J147" s="15">
        <f>D147+MAX(Interpolation!$I148*D147,1%)</f>
        <v>2.7959999999999999E-2</v>
      </c>
      <c r="K147" s="15">
        <f>E147+MAX(Interpolation!$I148*E147,1%)</f>
        <v>4.7160000000000001E-2</v>
      </c>
      <c r="L147" s="15">
        <f>F147+MAX(Interpolation!$I148*F147,1%)</f>
        <v>4.8030000000000003E-2</v>
      </c>
      <c r="M147" s="15">
        <f>G147+MAX(Interpolation!$I148*G147,1%)</f>
        <v>2.8360000000000003E-2</v>
      </c>
      <c r="N147" s="15">
        <f>B147-MAX(Interpolation!$J148*B147,0%)</f>
        <v>2.9671999999999997E-2</v>
      </c>
      <c r="O147" s="15">
        <f>C147-MAX(Interpolation!$J148*C147,0%)</f>
        <v>2.9704000000000001E-2</v>
      </c>
      <c r="P147" s="15">
        <f>D147-MAX(Interpolation!$J148*D147,0%)</f>
        <v>1.4368000000000001E-2</v>
      </c>
      <c r="Q147" s="15">
        <f>E147-MAX(Interpolation!$J148*E147,0%)</f>
        <v>2.9727999999999997E-2</v>
      </c>
      <c r="R147" s="15">
        <f>F147-MAX(Interpolation!$J148*F147,0%)</f>
        <v>3.0424E-2</v>
      </c>
      <c r="S147" s="15">
        <f>G147-MAX(Interpolation!$J148*G147,0%)</f>
        <v>1.4688000000000001E-2</v>
      </c>
    </row>
    <row r="148" spans="1:19" x14ac:dyDescent="0.25">
      <c r="A148" s="1">
        <v>147</v>
      </c>
      <c r="B148" s="3">
        <v>3.712E-2</v>
      </c>
      <c r="C148" s="3">
        <v>3.7150000000000002E-2</v>
      </c>
      <c r="D148" s="3">
        <v>1.7979999999999999E-2</v>
      </c>
      <c r="E148" s="3">
        <v>3.7199999999999997E-2</v>
      </c>
      <c r="F148" s="3">
        <v>3.8039999999999997E-2</v>
      </c>
      <c r="G148" s="3">
        <v>1.8370000000000001E-2</v>
      </c>
      <c r="H148" s="15">
        <f>B148+MAX(Interpolation!$I149*B148,1%)</f>
        <v>4.7120000000000002E-2</v>
      </c>
      <c r="I148" s="15">
        <f>C148+MAX(Interpolation!$I149*C148,1%)</f>
        <v>4.7150000000000004E-2</v>
      </c>
      <c r="J148" s="15">
        <f>D148+MAX(Interpolation!$I149*D148,1%)</f>
        <v>2.7979999999999998E-2</v>
      </c>
      <c r="K148" s="15">
        <f>E148+MAX(Interpolation!$I149*E148,1%)</f>
        <v>4.7199999999999999E-2</v>
      </c>
      <c r="L148" s="15">
        <f>F148+MAX(Interpolation!$I149*F148,1%)</f>
        <v>4.8039999999999999E-2</v>
      </c>
      <c r="M148" s="15">
        <f>G148+MAX(Interpolation!$I149*G148,1%)</f>
        <v>2.8369999999999999E-2</v>
      </c>
      <c r="N148" s="15">
        <f>B148-MAX(Interpolation!$J149*B148,0%)</f>
        <v>2.9696E-2</v>
      </c>
      <c r="O148" s="15">
        <f>C148-MAX(Interpolation!$J149*C148,0%)</f>
        <v>2.9720000000000003E-2</v>
      </c>
      <c r="P148" s="15">
        <f>D148-MAX(Interpolation!$J149*D148,0%)</f>
        <v>1.4383999999999999E-2</v>
      </c>
      <c r="Q148" s="15">
        <f>E148-MAX(Interpolation!$J149*E148,0%)</f>
        <v>2.9759999999999998E-2</v>
      </c>
      <c r="R148" s="15">
        <f>F148-MAX(Interpolation!$J149*F148,0%)</f>
        <v>3.0431999999999997E-2</v>
      </c>
      <c r="S148" s="15">
        <f>G148-MAX(Interpolation!$J149*G148,0%)</f>
        <v>1.4696000000000001E-2</v>
      </c>
    </row>
    <row r="149" spans="1:19" x14ac:dyDescent="0.25">
      <c r="A149" s="1">
        <v>148</v>
      </c>
      <c r="B149" s="3">
        <v>3.7159999999999999E-2</v>
      </c>
      <c r="C149" s="3">
        <v>3.7170000000000002E-2</v>
      </c>
      <c r="D149" s="3">
        <v>1.7989999999999999E-2</v>
      </c>
      <c r="E149" s="3">
        <v>3.7229999999999999E-2</v>
      </c>
      <c r="F149" s="3">
        <v>3.8059999999999997E-2</v>
      </c>
      <c r="G149" s="3">
        <v>1.8380000000000001E-2</v>
      </c>
      <c r="H149" s="15">
        <f>B149+MAX(Interpolation!$I150*B149,1%)</f>
        <v>4.7160000000000001E-2</v>
      </c>
      <c r="I149" s="15">
        <f>C149+MAX(Interpolation!$I150*C149,1%)</f>
        <v>4.7170000000000004E-2</v>
      </c>
      <c r="J149" s="15">
        <f>D149+MAX(Interpolation!$I150*D149,1%)</f>
        <v>2.7990000000000001E-2</v>
      </c>
      <c r="K149" s="15">
        <f>E149+MAX(Interpolation!$I150*E149,1%)</f>
        <v>4.7230000000000001E-2</v>
      </c>
      <c r="L149" s="15">
        <f>F149+MAX(Interpolation!$I150*F149,1%)</f>
        <v>4.8059999999999999E-2</v>
      </c>
      <c r="M149" s="15">
        <f>G149+MAX(Interpolation!$I150*G149,1%)</f>
        <v>2.8380000000000002E-2</v>
      </c>
      <c r="N149" s="15">
        <f>B149-MAX(Interpolation!$J150*B149,0%)</f>
        <v>2.9727999999999997E-2</v>
      </c>
      <c r="O149" s="15">
        <f>C149-MAX(Interpolation!$J150*C149,0%)</f>
        <v>2.9736000000000002E-2</v>
      </c>
      <c r="P149" s="15">
        <f>D149-MAX(Interpolation!$J150*D149,0%)</f>
        <v>1.4391999999999999E-2</v>
      </c>
      <c r="Q149" s="15">
        <f>E149-MAX(Interpolation!$J150*E149,0%)</f>
        <v>2.9783999999999998E-2</v>
      </c>
      <c r="R149" s="15">
        <f>F149-MAX(Interpolation!$J150*F149,0%)</f>
        <v>3.0447999999999996E-2</v>
      </c>
      <c r="S149" s="15">
        <f>G149-MAX(Interpolation!$J150*G149,0%)</f>
        <v>1.4704E-2</v>
      </c>
    </row>
    <row r="150" spans="1:19" x14ac:dyDescent="0.25">
      <c r="A150" s="1">
        <v>149</v>
      </c>
      <c r="B150" s="3">
        <v>3.7190000000000001E-2</v>
      </c>
      <c r="C150" s="3">
        <v>3.7199999999999997E-2</v>
      </c>
      <c r="D150" s="3">
        <v>1.8010000000000002E-2</v>
      </c>
      <c r="E150" s="3">
        <v>3.7260000000000001E-2</v>
      </c>
      <c r="F150" s="3">
        <v>3.8080000000000003E-2</v>
      </c>
      <c r="G150" s="3">
        <v>1.84E-2</v>
      </c>
      <c r="H150" s="15">
        <f>B150+MAX(Interpolation!$I151*B150,1%)</f>
        <v>4.7190000000000003E-2</v>
      </c>
      <c r="I150" s="15">
        <f>C150+MAX(Interpolation!$I151*C150,1%)</f>
        <v>4.7199999999999999E-2</v>
      </c>
      <c r="J150" s="15">
        <f>D150+MAX(Interpolation!$I151*D150,1%)</f>
        <v>2.801E-2</v>
      </c>
      <c r="K150" s="15">
        <f>E150+MAX(Interpolation!$I151*E150,1%)</f>
        <v>4.7260000000000003E-2</v>
      </c>
      <c r="L150" s="15">
        <f>F150+MAX(Interpolation!$I151*F150,1%)</f>
        <v>4.8080000000000005E-2</v>
      </c>
      <c r="M150" s="15">
        <f>G150+MAX(Interpolation!$I151*G150,1%)</f>
        <v>2.8400000000000002E-2</v>
      </c>
      <c r="N150" s="15">
        <f>B150-MAX(Interpolation!$J151*B150,0%)</f>
        <v>2.9752000000000001E-2</v>
      </c>
      <c r="O150" s="15">
        <f>C150-MAX(Interpolation!$J151*C150,0%)</f>
        <v>2.9759999999999998E-2</v>
      </c>
      <c r="P150" s="15">
        <f>D150-MAX(Interpolation!$J151*D150,0%)</f>
        <v>1.4408000000000001E-2</v>
      </c>
      <c r="Q150" s="15">
        <f>E150-MAX(Interpolation!$J151*E150,0%)</f>
        <v>2.9808000000000001E-2</v>
      </c>
      <c r="R150" s="15">
        <f>F150-MAX(Interpolation!$J151*F150,0%)</f>
        <v>3.0464000000000001E-2</v>
      </c>
      <c r="S150" s="15">
        <f>G150-MAX(Interpolation!$J151*G150,0%)</f>
        <v>1.472E-2</v>
      </c>
    </row>
    <row r="151" spans="1:19" x14ac:dyDescent="0.25">
      <c r="A151" s="2">
        <v>150</v>
      </c>
      <c r="B151" s="4">
        <v>3.7220000000000003E-2</v>
      </c>
      <c r="C151" s="4">
        <v>3.7220000000000003E-2</v>
      </c>
      <c r="D151" s="4">
        <v>1.8030000000000001E-2</v>
      </c>
      <c r="E151" s="4">
        <v>3.7289999999999997E-2</v>
      </c>
      <c r="F151" s="4">
        <v>3.8089999999999999E-2</v>
      </c>
      <c r="G151" s="4">
        <v>1.8409999999999999E-2</v>
      </c>
      <c r="H151" s="15">
        <f>B151+MAX(Interpolation!$I152*B151,1%)</f>
        <v>4.7220000000000005E-2</v>
      </c>
      <c r="I151" s="15">
        <f>C151+MAX(Interpolation!$I152*C151,1%)</f>
        <v>4.7220000000000005E-2</v>
      </c>
      <c r="J151" s="15">
        <f>D151+MAX(Interpolation!$I152*D151,1%)</f>
        <v>2.8029999999999999E-2</v>
      </c>
      <c r="K151" s="15">
        <f>E151+MAX(Interpolation!$I152*E151,1%)</f>
        <v>4.7289999999999999E-2</v>
      </c>
      <c r="L151" s="15">
        <f>F151+MAX(Interpolation!$I152*F151,1%)</f>
        <v>4.8090000000000001E-2</v>
      </c>
      <c r="M151" s="15">
        <f>G151+MAX(Interpolation!$I152*G151,1%)</f>
        <v>2.8409999999999998E-2</v>
      </c>
      <c r="N151" s="15">
        <f>B151-MAX(Interpolation!$J152*B151,0%)</f>
        <v>2.9776000000000004E-2</v>
      </c>
      <c r="O151" s="15">
        <f>C151-MAX(Interpolation!$J152*C151,0%)</f>
        <v>2.9776000000000004E-2</v>
      </c>
      <c r="P151" s="15">
        <f>D151-MAX(Interpolation!$J152*D151,0%)</f>
        <v>1.4424000000000001E-2</v>
      </c>
      <c r="Q151" s="15">
        <f>E151-MAX(Interpolation!$J152*E151,0%)</f>
        <v>2.9831999999999997E-2</v>
      </c>
      <c r="R151" s="15">
        <f>F151-MAX(Interpolation!$J152*F151,0%)</f>
        <v>3.0471999999999999E-2</v>
      </c>
      <c r="S151" s="15">
        <f>G151-MAX(Interpolation!$J152*G151,0%)</f>
        <v>1.4728E-2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A15" sqref="A15"/>
    </sheetView>
  </sheetViews>
  <sheetFormatPr baseColWidth="10" defaultRowHeight="15" x14ac:dyDescent="0.25"/>
  <sheetData>
    <row r="1" spans="1:9" x14ac:dyDescent="0.25">
      <c r="A1" s="10" t="s">
        <v>21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10</v>
      </c>
    </row>
    <row r="2" spans="1:9" x14ac:dyDescent="0.25">
      <c r="A2" s="7" t="s">
        <v>1</v>
      </c>
      <c r="B2" s="11" t="s">
        <v>3</v>
      </c>
      <c r="C2" s="12">
        <v>126.56526487430887</v>
      </c>
      <c r="D2" s="12">
        <v>161.4457277055796</v>
      </c>
      <c r="E2" s="12">
        <v>163.87711619939174</v>
      </c>
      <c r="F2" s="12">
        <v>149.23977052156943</v>
      </c>
      <c r="G2" s="12">
        <v>126.02983158888995</v>
      </c>
      <c r="H2" s="12">
        <v>126.02983158888995</v>
      </c>
    </row>
    <row r="3" spans="1:9" x14ac:dyDescent="0.25">
      <c r="A3" s="7" t="s">
        <v>2</v>
      </c>
      <c r="B3" s="11" t="s">
        <v>3</v>
      </c>
      <c r="C3" s="12">
        <v>-2.0524929660841345</v>
      </c>
      <c r="D3" s="12">
        <v>-26.325683319989942</v>
      </c>
      <c r="E3" s="12">
        <v>-37.068874364367822</v>
      </c>
      <c r="F3" s="12">
        <v>-38.920392782855856</v>
      </c>
      <c r="G3" s="12">
        <v>-41.032524250710075</v>
      </c>
      <c r="H3" s="12">
        <v>-43.144655718564294</v>
      </c>
    </row>
    <row r="5" spans="1:9" x14ac:dyDescent="0.25">
      <c r="A5" s="10" t="s">
        <v>20</v>
      </c>
      <c r="B5" s="5" t="s">
        <v>4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</row>
    <row r="6" spans="1:9" x14ac:dyDescent="0.25">
      <c r="A6" s="7" t="s">
        <v>1</v>
      </c>
      <c r="B6" s="7" t="s">
        <v>18</v>
      </c>
      <c r="C6" s="8">
        <v>138.08255444597802</v>
      </c>
      <c r="D6" s="8">
        <v>177.91228469120199</v>
      </c>
      <c r="E6" s="8">
        <v>217.74201493642596</v>
      </c>
      <c r="F6" s="8">
        <v>257.57174518164993</v>
      </c>
      <c r="G6" s="8">
        <v>275.14749889401628</v>
      </c>
      <c r="H6" s="8">
        <v>292.72325260638269</v>
      </c>
      <c r="I6" s="8">
        <v>310.29900631874909</v>
      </c>
    </row>
    <row r="7" spans="1:9" x14ac:dyDescent="0.25">
      <c r="A7" s="7"/>
      <c r="B7" s="7" t="s">
        <v>19</v>
      </c>
      <c r="C7" s="8">
        <v>147.36222254349104</v>
      </c>
      <c r="D7" s="8">
        <v>198.51814836232737</v>
      </c>
      <c r="E7" s="8">
        <v>249.67407418116369</v>
      </c>
      <c r="F7" s="8">
        <v>300.83</v>
      </c>
      <c r="G7" s="8">
        <v>318.40575371236633</v>
      </c>
      <c r="H7" s="8">
        <v>335.98150742473268</v>
      </c>
      <c r="I7" s="8">
        <v>353.55726113709909</v>
      </c>
    </row>
    <row r="8" spans="1:9" x14ac:dyDescent="0.25">
      <c r="A8" s="7" t="s">
        <v>2</v>
      </c>
      <c r="B8" s="7" t="s">
        <v>18</v>
      </c>
      <c r="C8" s="8">
        <v>-29.265109800621943</v>
      </c>
      <c r="D8" s="8">
        <v>-31.290718820521889</v>
      </c>
      <c r="E8" s="8">
        <v>-28.930871337844302</v>
      </c>
      <c r="F8" s="8">
        <v>-22.556211858821136</v>
      </c>
      <c r="G8" s="8">
        <v>-14.493848246910154</v>
      </c>
      <c r="H8" s="8">
        <v>-6.4314846349991726</v>
      </c>
      <c r="I8" s="8">
        <v>1.6308789769118093</v>
      </c>
    </row>
    <row r="9" spans="1:9" x14ac:dyDescent="0.25">
      <c r="A9" s="7"/>
      <c r="B9" s="7" t="s">
        <v>19</v>
      </c>
      <c r="C9" s="8">
        <v>-27.277765856182548</v>
      </c>
      <c r="D9" s="8">
        <v>-30.344908749487232</v>
      </c>
      <c r="E9" s="8">
        <v>-33.412051642791909</v>
      </c>
      <c r="F9" s="8">
        <v>-36.4791945360966</v>
      </c>
      <c r="G9" s="8">
        <v>-28.416830924185618</v>
      </c>
      <c r="H9" s="8">
        <v>-20.354467312274636</v>
      </c>
      <c r="I9" s="8">
        <v>-12.292103700363661</v>
      </c>
    </row>
    <row r="11" spans="1:9" x14ac:dyDescent="0.25">
      <c r="A11" s="10" t="s">
        <v>22</v>
      </c>
      <c r="B11" s="5" t="s">
        <v>4</v>
      </c>
      <c r="C11" s="5" t="s">
        <v>23</v>
      </c>
      <c r="D11" s="5" t="s">
        <v>24</v>
      </c>
      <c r="E11" s="5" t="s">
        <v>25</v>
      </c>
      <c r="F11" s="5" t="s">
        <v>27</v>
      </c>
    </row>
    <row r="12" spans="1:9" x14ac:dyDescent="0.25">
      <c r="A12" s="7" t="s">
        <v>1</v>
      </c>
      <c r="B12" s="9" t="s">
        <v>26</v>
      </c>
      <c r="C12" s="9">
        <v>-0.39</v>
      </c>
      <c r="D12" s="9">
        <v>-0.2</v>
      </c>
      <c r="E12" s="9">
        <v>-0.31</v>
      </c>
      <c r="F12" s="9">
        <v>-0.4</v>
      </c>
    </row>
    <row r="13" spans="1:9" x14ac:dyDescent="0.25">
      <c r="A13" s="7" t="s">
        <v>2</v>
      </c>
      <c r="B13" s="9" t="s">
        <v>26</v>
      </c>
      <c r="C13" s="9">
        <v>-0.16</v>
      </c>
      <c r="D13" s="9">
        <v>0</v>
      </c>
      <c r="E13" s="9">
        <v>0</v>
      </c>
      <c r="F13" s="9">
        <v>-0.13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"/>
  <sheetViews>
    <sheetView workbookViewId="0">
      <selection activeCell="C26" sqref="C26"/>
    </sheetView>
  </sheetViews>
  <sheetFormatPr baseColWidth="10" defaultRowHeight="15" x14ac:dyDescent="0.25"/>
  <sheetData>
    <row r="1" spans="1:10" x14ac:dyDescent="0.25">
      <c r="A1" t="s">
        <v>30</v>
      </c>
      <c r="H1" t="s">
        <v>31</v>
      </c>
    </row>
    <row r="2" spans="1:10" x14ac:dyDescent="0.25">
      <c r="B2" t="s">
        <v>28</v>
      </c>
      <c r="C2" t="s">
        <v>29</v>
      </c>
      <c r="D2" t="s">
        <v>32</v>
      </c>
      <c r="E2" t="s">
        <v>33</v>
      </c>
      <c r="F2" t="s">
        <v>34</v>
      </c>
      <c r="H2" s="16">
        <v>0</v>
      </c>
      <c r="I2" s="16" t="s">
        <v>28</v>
      </c>
      <c r="J2" s="16" t="s">
        <v>29</v>
      </c>
    </row>
    <row r="3" spans="1:10" x14ac:dyDescent="0.25">
      <c r="A3" s="16">
        <v>1</v>
      </c>
      <c r="B3" s="16">
        <v>0.7</v>
      </c>
      <c r="C3" s="16">
        <v>0.75</v>
      </c>
      <c r="D3" s="16">
        <f>A4-A3</f>
        <v>1</v>
      </c>
      <c r="E3" s="16">
        <f>B4</f>
        <v>0.7</v>
      </c>
      <c r="F3" s="16">
        <f>C4</f>
        <v>0.65</v>
      </c>
      <c r="H3" s="16">
        <v>1</v>
      </c>
      <c r="I3" s="16">
        <f>IFERROR(IF($H3&gt;=$A$23,B$23,VLOOKUP($H3,$A$3:$F$23,2,FALSE)),(VLOOKUP($H3,$A$3:$F$23,5,TRUE)-VLOOKUP($H3,$A$3:$F$23,2,TRUE))/VLOOKUP($H3,$A$3:$F$23,4,TRUE)+I2)</f>
        <v>0.7</v>
      </c>
      <c r="J3" s="16">
        <f>IFERROR(IF($H3&gt;=$A$23,C$23,VLOOKUP($H3,$A$3:$F$23,3,FALSE)),(VLOOKUP($H3,$A$3:$F$23,6,TRUE)-VLOOKUP($H3,$A$3:$F$23,3,TRUE))/VLOOKUP($H3,$A$3:$F$23,4,TRUE)+J2)</f>
        <v>0.75</v>
      </c>
    </row>
    <row r="4" spans="1:10" x14ac:dyDescent="0.25">
      <c r="A4" s="16">
        <v>2</v>
      </c>
      <c r="B4" s="16">
        <v>0.7</v>
      </c>
      <c r="C4" s="16">
        <v>0.65</v>
      </c>
      <c r="D4" s="16">
        <f t="shared" ref="D4:D23" si="0">A5-A4</f>
        <v>1</v>
      </c>
      <c r="E4" s="16">
        <f t="shared" ref="E4:E23" si="1">B5</f>
        <v>0.64</v>
      </c>
      <c r="F4" s="16">
        <f t="shared" ref="F4:F23" si="2">C5</f>
        <v>0.56000000000000005</v>
      </c>
      <c r="H4" s="16">
        <v>2</v>
      </c>
      <c r="I4" s="16">
        <f t="shared" ref="I4:I67" si="3">IFERROR(IF($H4&gt;=$A$23,B$23,VLOOKUP($H4,$A$3:$F$23,2,FALSE)),(VLOOKUP($H4,$A$3:$F$23,5,TRUE)-VLOOKUP($H4,$A$3:$F$23,2,TRUE))/VLOOKUP($H4,$A$3:$F$23,4,TRUE)+I3)</f>
        <v>0.7</v>
      </c>
      <c r="J4" s="16">
        <f t="shared" ref="J4:J67" si="4">IFERROR(IF($H4&gt;=$A$23,C$23,VLOOKUP($H4,$A$3:$F$23,3,FALSE)),(VLOOKUP($H4,$A$3:$F$23,6,TRUE)-VLOOKUP($H4,$A$3:$F$23,3,TRUE))/VLOOKUP($H4,$A$3:$F$23,4,TRUE)+J3)</f>
        <v>0.65</v>
      </c>
    </row>
    <row r="5" spans="1:10" x14ac:dyDescent="0.25">
      <c r="A5" s="16">
        <v>3</v>
      </c>
      <c r="B5" s="16">
        <v>0.64</v>
      </c>
      <c r="C5" s="16">
        <v>0.56000000000000005</v>
      </c>
      <c r="D5" s="16">
        <f t="shared" si="0"/>
        <v>1</v>
      </c>
      <c r="E5" s="16">
        <f t="shared" si="1"/>
        <v>0.59</v>
      </c>
      <c r="F5" s="16">
        <f t="shared" si="2"/>
        <v>0.5</v>
      </c>
      <c r="H5" s="16">
        <v>3</v>
      </c>
      <c r="I5" s="16">
        <f t="shared" si="3"/>
        <v>0.64</v>
      </c>
      <c r="J5" s="16">
        <f t="shared" si="4"/>
        <v>0.56000000000000005</v>
      </c>
    </row>
    <row r="6" spans="1:10" x14ac:dyDescent="0.25">
      <c r="A6" s="16">
        <v>4</v>
      </c>
      <c r="B6" s="16">
        <v>0.59</v>
      </c>
      <c r="C6" s="16">
        <v>0.5</v>
      </c>
      <c r="D6" s="16">
        <f t="shared" si="0"/>
        <v>1</v>
      </c>
      <c r="E6" s="16">
        <f t="shared" si="1"/>
        <v>0.55000000000000004</v>
      </c>
      <c r="F6" s="16">
        <f t="shared" si="2"/>
        <v>0.46</v>
      </c>
      <c r="H6" s="16">
        <v>4</v>
      </c>
      <c r="I6" s="16">
        <f t="shared" si="3"/>
        <v>0.59</v>
      </c>
      <c r="J6" s="16">
        <f t="shared" si="4"/>
        <v>0.5</v>
      </c>
    </row>
    <row r="7" spans="1:10" x14ac:dyDescent="0.25">
      <c r="A7" s="16">
        <v>5</v>
      </c>
      <c r="B7" s="16">
        <v>0.55000000000000004</v>
      </c>
      <c r="C7" s="16">
        <v>0.46</v>
      </c>
      <c r="D7" s="16">
        <f t="shared" si="0"/>
        <v>1</v>
      </c>
      <c r="E7" s="16">
        <f t="shared" si="1"/>
        <v>0.52</v>
      </c>
      <c r="F7" s="16">
        <f t="shared" si="2"/>
        <v>0.42</v>
      </c>
      <c r="H7" s="16">
        <v>5</v>
      </c>
      <c r="I7" s="16">
        <f t="shared" si="3"/>
        <v>0.55000000000000004</v>
      </c>
      <c r="J7" s="16">
        <f t="shared" si="4"/>
        <v>0.46</v>
      </c>
    </row>
    <row r="8" spans="1:10" x14ac:dyDescent="0.25">
      <c r="A8" s="16">
        <v>6</v>
      </c>
      <c r="B8" s="16">
        <v>0.52</v>
      </c>
      <c r="C8" s="16">
        <v>0.42</v>
      </c>
      <c r="D8" s="16">
        <f t="shared" si="0"/>
        <v>1</v>
      </c>
      <c r="E8" s="16">
        <f t="shared" si="1"/>
        <v>0.49</v>
      </c>
      <c r="F8" s="16">
        <f t="shared" si="2"/>
        <v>0.39</v>
      </c>
      <c r="H8" s="16">
        <v>6</v>
      </c>
      <c r="I8" s="16">
        <f t="shared" si="3"/>
        <v>0.52</v>
      </c>
      <c r="J8" s="16">
        <f t="shared" si="4"/>
        <v>0.42</v>
      </c>
    </row>
    <row r="9" spans="1:10" x14ac:dyDescent="0.25">
      <c r="A9" s="16">
        <v>7</v>
      </c>
      <c r="B9" s="16">
        <v>0.49</v>
      </c>
      <c r="C9" s="16">
        <v>0.39</v>
      </c>
      <c r="D9" s="16">
        <f t="shared" si="0"/>
        <v>1</v>
      </c>
      <c r="E9" s="16">
        <f t="shared" si="1"/>
        <v>0.47</v>
      </c>
      <c r="F9" s="16">
        <f t="shared" si="2"/>
        <v>0.36</v>
      </c>
      <c r="H9" s="16">
        <v>7</v>
      </c>
      <c r="I9" s="16">
        <f t="shared" si="3"/>
        <v>0.49</v>
      </c>
      <c r="J9" s="16">
        <f t="shared" si="4"/>
        <v>0.39</v>
      </c>
    </row>
    <row r="10" spans="1:10" x14ac:dyDescent="0.25">
      <c r="A10" s="16">
        <v>8</v>
      </c>
      <c r="B10" s="16">
        <v>0.47</v>
      </c>
      <c r="C10" s="16">
        <v>0.36</v>
      </c>
      <c r="D10" s="16">
        <f t="shared" si="0"/>
        <v>1</v>
      </c>
      <c r="E10" s="16">
        <f t="shared" si="1"/>
        <v>0.44</v>
      </c>
      <c r="F10" s="16">
        <f t="shared" si="2"/>
        <v>0.33</v>
      </c>
      <c r="H10" s="16">
        <v>8</v>
      </c>
      <c r="I10" s="16">
        <f t="shared" si="3"/>
        <v>0.47</v>
      </c>
      <c r="J10" s="16">
        <f t="shared" si="4"/>
        <v>0.36</v>
      </c>
    </row>
    <row r="11" spans="1:10" x14ac:dyDescent="0.25">
      <c r="A11" s="16">
        <v>9</v>
      </c>
      <c r="B11" s="16">
        <v>0.44</v>
      </c>
      <c r="C11" s="16">
        <v>0.33</v>
      </c>
      <c r="D11" s="16">
        <f t="shared" si="0"/>
        <v>1</v>
      </c>
      <c r="E11" s="16">
        <f t="shared" si="1"/>
        <v>0.42</v>
      </c>
      <c r="F11" s="16">
        <f t="shared" si="2"/>
        <v>0.31</v>
      </c>
      <c r="H11" s="16">
        <v>9</v>
      </c>
      <c r="I11" s="16">
        <f t="shared" si="3"/>
        <v>0.44</v>
      </c>
      <c r="J11" s="16">
        <f t="shared" si="4"/>
        <v>0.33</v>
      </c>
    </row>
    <row r="12" spans="1:10" x14ac:dyDescent="0.25">
      <c r="A12" s="16">
        <v>10</v>
      </c>
      <c r="B12" s="16">
        <v>0.42</v>
      </c>
      <c r="C12" s="16">
        <v>0.31</v>
      </c>
      <c r="D12" s="16">
        <f t="shared" si="0"/>
        <v>1</v>
      </c>
      <c r="E12" s="16">
        <f t="shared" si="1"/>
        <v>0.39</v>
      </c>
      <c r="F12" s="16">
        <f t="shared" si="2"/>
        <v>0.3</v>
      </c>
      <c r="H12" s="16">
        <v>10</v>
      </c>
      <c r="I12" s="16">
        <f t="shared" si="3"/>
        <v>0.42</v>
      </c>
      <c r="J12" s="16">
        <f t="shared" si="4"/>
        <v>0.31</v>
      </c>
    </row>
    <row r="13" spans="1:10" x14ac:dyDescent="0.25">
      <c r="A13" s="16">
        <v>11</v>
      </c>
      <c r="B13" s="16">
        <v>0.39</v>
      </c>
      <c r="C13" s="16">
        <v>0.3</v>
      </c>
      <c r="D13" s="16">
        <f t="shared" si="0"/>
        <v>1</v>
      </c>
      <c r="E13" s="16">
        <f t="shared" si="1"/>
        <v>0.37</v>
      </c>
      <c r="F13" s="16">
        <f t="shared" si="2"/>
        <v>0.28999999999999998</v>
      </c>
      <c r="H13" s="16">
        <v>11</v>
      </c>
      <c r="I13" s="16">
        <f t="shared" si="3"/>
        <v>0.39</v>
      </c>
      <c r="J13" s="16">
        <f t="shared" si="4"/>
        <v>0.3</v>
      </c>
    </row>
    <row r="14" spans="1:10" x14ac:dyDescent="0.25">
      <c r="A14" s="16">
        <v>12</v>
      </c>
      <c r="B14" s="16">
        <v>0.37</v>
      </c>
      <c r="C14" s="16">
        <v>0.28999999999999998</v>
      </c>
      <c r="D14" s="16">
        <f t="shared" si="0"/>
        <v>1</v>
      </c>
      <c r="E14" s="16">
        <f t="shared" si="1"/>
        <v>0.35</v>
      </c>
      <c r="F14" s="16">
        <f t="shared" si="2"/>
        <v>0.28000000000000003</v>
      </c>
      <c r="H14" s="16">
        <v>12</v>
      </c>
      <c r="I14" s="16">
        <f t="shared" si="3"/>
        <v>0.37</v>
      </c>
      <c r="J14" s="16">
        <f t="shared" si="4"/>
        <v>0.28999999999999998</v>
      </c>
    </row>
    <row r="15" spans="1:10" x14ac:dyDescent="0.25">
      <c r="A15" s="16">
        <v>13</v>
      </c>
      <c r="B15" s="16">
        <v>0.35</v>
      </c>
      <c r="C15" s="16">
        <v>0.28000000000000003</v>
      </c>
      <c r="D15" s="16">
        <f t="shared" si="0"/>
        <v>1</v>
      </c>
      <c r="E15" s="16">
        <f t="shared" si="1"/>
        <v>0.34</v>
      </c>
      <c r="F15" s="16">
        <f t="shared" si="2"/>
        <v>0.28000000000000003</v>
      </c>
      <c r="H15" s="16">
        <v>13</v>
      </c>
      <c r="I15" s="16">
        <f t="shared" si="3"/>
        <v>0.35</v>
      </c>
      <c r="J15" s="16">
        <f t="shared" si="4"/>
        <v>0.28000000000000003</v>
      </c>
    </row>
    <row r="16" spans="1:10" x14ac:dyDescent="0.25">
      <c r="A16" s="16">
        <v>14</v>
      </c>
      <c r="B16" s="16">
        <v>0.34</v>
      </c>
      <c r="C16" s="16">
        <v>0.28000000000000003</v>
      </c>
      <c r="D16" s="16">
        <f t="shared" si="0"/>
        <v>1</v>
      </c>
      <c r="E16" s="16">
        <f t="shared" si="1"/>
        <v>0.33</v>
      </c>
      <c r="F16" s="16">
        <f t="shared" si="2"/>
        <v>0.27</v>
      </c>
      <c r="H16" s="16">
        <v>14</v>
      </c>
      <c r="I16" s="16">
        <f t="shared" si="3"/>
        <v>0.34</v>
      </c>
      <c r="J16" s="16">
        <f t="shared" si="4"/>
        <v>0.28000000000000003</v>
      </c>
    </row>
    <row r="17" spans="1:10" x14ac:dyDescent="0.25">
      <c r="A17" s="16">
        <v>15</v>
      </c>
      <c r="B17" s="16">
        <v>0.33</v>
      </c>
      <c r="C17" s="16">
        <v>0.27</v>
      </c>
      <c r="D17" s="16">
        <f t="shared" si="0"/>
        <v>1</v>
      </c>
      <c r="E17" s="16">
        <f t="shared" si="1"/>
        <v>0.31</v>
      </c>
      <c r="F17" s="16">
        <f t="shared" si="2"/>
        <v>0.28000000000000003</v>
      </c>
      <c r="H17" s="16">
        <v>15</v>
      </c>
      <c r="I17" s="16">
        <f t="shared" si="3"/>
        <v>0.33</v>
      </c>
      <c r="J17" s="16">
        <f t="shared" si="4"/>
        <v>0.27</v>
      </c>
    </row>
    <row r="18" spans="1:10" x14ac:dyDescent="0.25">
      <c r="A18" s="16">
        <v>16</v>
      </c>
      <c r="B18" s="16">
        <v>0.31</v>
      </c>
      <c r="C18" s="16">
        <v>0.28000000000000003</v>
      </c>
      <c r="D18" s="16">
        <f t="shared" si="0"/>
        <v>1</v>
      </c>
      <c r="E18" s="16">
        <f t="shared" si="1"/>
        <v>0.3</v>
      </c>
      <c r="F18" s="16">
        <f t="shared" si="2"/>
        <v>0.28000000000000003</v>
      </c>
      <c r="H18" s="16">
        <v>16</v>
      </c>
      <c r="I18" s="16">
        <f t="shared" si="3"/>
        <v>0.31</v>
      </c>
      <c r="J18" s="16">
        <f t="shared" si="4"/>
        <v>0.28000000000000003</v>
      </c>
    </row>
    <row r="19" spans="1:10" x14ac:dyDescent="0.25">
      <c r="A19" s="16">
        <v>17</v>
      </c>
      <c r="B19" s="16">
        <v>0.3</v>
      </c>
      <c r="C19" s="16">
        <v>0.28000000000000003</v>
      </c>
      <c r="D19" s="16">
        <f t="shared" si="0"/>
        <v>1</v>
      </c>
      <c r="E19" s="16">
        <f t="shared" si="1"/>
        <v>0.28999999999999998</v>
      </c>
      <c r="F19" s="16">
        <f t="shared" si="2"/>
        <v>0.28000000000000003</v>
      </c>
      <c r="H19" s="16">
        <v>17</v>
      </c>
      <c r="I19" s="16">
        <f t="shared" si="3"/>
        <v>0.3</v>
      </c>
      <c r="J19" s="16">
        <f t="shared" si="4"/>
        <v>0.28000000000000003</v>
      </c>
    </row>
    <row r="20" spans="1:10" x14ac:dyDescent="0.25">
      <c r="A20" s="16">
        <v>18</v>
      </c>
      <c r="B20" s="16">
        <v>0.28999999999999998</v>
      </c>
      <c r="C20" s="16">
        <v>0.28000000000000003</v>
      </c>
      <c r="D20" s="16">
        <f t="shared" si="0"/>
        <v>1</v>
      </c>
      <c r="E20" s="16">
        <f t="shared" si="1"/>
        <v>0.27</v>
      </c>
      <c r="F20" s="16">
        <f t="shared" si="2"/>
        <v>0.28999999999999998</v>
      </c>
      <c r="H20" s="16">
        <v>18</v>
      </c>
      <c r="I20" s="16">
        <f t="shared" si="3"/>
        <v>0.28999999999999998</v>
      </c>
      <c r="J20" s="16">
        <f t="shared" si="4"/>
        <v>0.28000000000000003</v>
      </c>
    </row>
    <row r="21" spans="1:10" x14ac:dyDescent="0.25">
      <c r="A21" s="16">
        <v>19</v>
      </c>
      <c r="B21" s="16">
        <v>0.27</v>
      </c>
      <c r="C21" s="16">
        <v>0.28999999999999998</v>
      </c>
      <c r="D21" s="16">
        <f t="shared" si="0"/>
        <v>1</v>
      </c>
      <c r="E21" s="16">
        <f t="shared" si="1"/>
        <v>0.26</v>
      </c>
      <c r="F21" s="16">
        <f t="shared" si="2"/>
        <v>0.28999999999999998</v>
      </c>
      <c r="H21" s="16">
        <v>19</v>
      </c>
      <c r="I21" s="16">
        <f t="shared" si="3"/>
        <v>0.27</v>
      </c>
      <c r="J21" s="16">
        <f t="shared" si="4"/>
        <v>0.28999999999999998</v>
      </c>
    </row>
    <row r="22" spans="1:10" x14ac:dyDescent="0.25">
      <c r="A22" s="16">
        <v>20</v>
      </c>
      <c r="B22" s="16">
        <v>0.26</v>
      </c>
      <c r="C22" s="16">
        <v>0.28999999999999998</v>
      </c>
      <c r="D22" s="16">
        <f t="shared" si="0"/>
        <v>70</v>
      </c>
      <c r="E22" s="16">
        <f t="shared" si="1"/>
        <v>0.2</v>
      </c>
      <c r="F22" s="16">
        <f t="shared" si="2"/>
        <v>0.2</v>
      </c>
      <c r="H22" s="16">
        <v>20</v>
      </c>
      <c r="I22" s="16">
        <f t="shared" si="3"/>
        <v>0.26</v>
      </c>
      <c r="J22" s="16">
        <f t="shared" si="4"/>
        <v>0.28999999999999998</v>
      </c>
    </row>
    <row r="23" spans="1:10" x14ac:dyDescent="0.25">
      <c r="A23" s="16">
        <v>90</v>
      </c>
      <c r="B23" s="16">
        <v>0.2</v>
      </c>
      <c r="C23" s="16">
        <v>0.2</v>
      </c>
      <c r="D23" s="16">
        <f t="shared" si="0"/>
        <v>-90</v>
      </c>
      <c r="E23" s="16"/>
      <c r="F23" s="16"/>
      <c r="H23" s="16">
        <v>21</v>
      </c>
      <c r="I23" s="16">
        <f t="shared" si="3"/>
        <v>0.25914285714285717</v>
      </c>
      <c r="J23" s="16">
        <f t="shared" si="4"/>
        <v>0.2887142857142857</v>
      </c>
    </row>
    <row r="24" spans="1:10" x14ac:dyDescent="0.25">
      <c r="H24" s="16">
        <v>22</v>
      </c>
      <c r="I24" s="16">
        <f t="shared" si="3"/>
        <v>0.25828571428571434</v>
      </c>
      <c r="J24" s="16">
        <f t="shared" si="4"/>
        <v>0.28742857142857142</v>
      </c>
    </row>
    <row r="25" spans="1:10" x14ac:dyDescent="0.25">
      <c r="H25" s="16">
        <v>23</v>
      </c>
      <c r="I25" s="16">
        <f t="shared" si="3"/>
        <v>0.25742857142857151</v>
      </c>
      <c r="J25" s="16">
        <f t="shared" si="4"/>
        <v>0.28614285714285714</v>
      </c>
    </row>
    <row r="26" spans="1:10" x14ac:dyDescent="0.25">
      <c r="H26" s="16">
        <v>24</v>
      </c>
      <c r="I26" s="16">
        <f t="shared" si="3"/>
        <v>0.25657142857142867</v>
      </c>
      <c r="J26" s="16">
        <f t="shared" si="4"/>
        <v>0.28485714285714286</v>
      </c>
    </row>
    <row r="27" spans="1:10" x14ac:dyDescent="0.25">
      <c r="H27" s="16">
        <v>25</v>
      </c>
      <c r="I27" s="16">
        <f t="shared" si="3"/>
        <v>0.25571428571428584</v>
      </c>
      <c r="J27" s="16">
        <f t="shared" si="4"/>
        <v>0.28357142857142859</v>
      </c>
    </row>
    <row r="28" spans="1:10" x14ac:dyDescent="0.25">
      <c r="H28" s="16">
        <v>26</v>
      </c>
      <c r="I28" s="16">
        <f t="shared" si="3"/>
        <v>0.254857142857143</v>
      </c>
      <c r="J28" s="16">
        <f t="shared" si="4"/>
        <v>0.28228571428571431</v>
      </c>
    </row>
    <row r="29" spans="1:10" x14ac:dyDescent="0.25">
      <c r="H29" s="16">
        <v>27</v>
      </c>
      <c r="I29" s="16">
        <f t="shared" si="3"/>
        <v>0.25400000000000017</v>
      </c>
      <c r="J29" s="16">
        <f t="shared" si="4"/>
        <v>0.28100000000000003</v>
      </c>
    </row>
    <row r="30" spans="1:10" x14ac:dyDescent="0.25">
      <c r="H30" s="16">
        <v>28</v>
      </c>
      <c r="I30" s="16">
        <f t="shared" si="3"/>
        <v>0.25314285714285734</v>
      </c>
      <c r="J30" s="16">
        <f t="shared" si="4"/>
        <v>0.27971428571428575</v>
      </c>
    </row>
    <row r="31" spans="1:10" x14ac:dyDescent="0.25">
      <c r="H31" s="16">
        <v>29</v>
      </c>
      <c r="I31" s="16">
        <f t="shared" si="3"/>
        <v>0.2522857142857145</v>
      </c>
      <c r="J31" s="16">
        <f t="shared" si="4"/>
        <v>0.27842857142857147</v>
      </c>
    </row>
    <row r="32" spans="1:10" x14ac:dyDescent="0.25">
      <c r="H32" s="16">
        <v>30</v>
      </c>
      <c r="I32" s="16">
        <f t="shared" si="3"/>
        <v>0.25142857142857167</v>
      </c>
      <c r="J32" s="16">
        <f t="shared" si="4"/>
        <v>0.27714285714285719</v>
      </c>
    </row>
    <row r="33" spans="8:10" x14ac:dyDescent="0.25">
      <c r="H33" s="16">
        <v>31</v>
      </c>
      <c r="I33" s="16">
        <f t="shared" si="3"/>
        <v>0.25057142857142883</v>
      </c>
      <c r="J33" s="16">
        <f t="shared" si="4"/>
        <v>0.27585714285714291</v>
      </c>
    </row>
    <row r="34" spans="8:10" x14ac:dyDescent="0.25">
      <c r="H34" s="16">
        <v>32</v>
      </c>
      <c r="I34" s="16">
        <f t="shared" si="3"/>
        <v>0.24971428571428597</v>
      </c>
      <c r="J34" s="16">
        <f t="shared" si="4"/>
        <v>0.27457142857142863</v>
      </c>
    </row>
    <row r="35" spans="8:10" x14ac:dyDescent="0.25">
      <c r="H35" s="16">
        <v>33</v>
      </c>
      <c r="I35" s="16">
        <f t="shared" si="3"/>
        <v>0.24885714285714311</v>
      </c>
      <c r="J35" s="16">
        <f t="shared" si="4"/>
        <v>0.27328571428571435</v>
      </c>
    </row>
    <row r="36" spans="8:10" x14ac:dyDescent="0.25">
      <c r="H36" s="16">
        <v>34</v>
      </c>
      <c r="I36" s="16">
        <f t="shared" si="3"/>
        <v>0.24800000000000025</v>
      </c>
      <c r="J36" s="16">
        <f t="shared" si="4"/>
        <v>0.27200000000000008</v>
      </c>
    </row>
    <row r="37" spans="8:10" x14ac:dyDescent="0.25">
      <c r="H37" s="16">
        <v>35</v>
      </c>
      <c r="I37" s="16">
        <f t="shared" si="3"/>
        <v>0.24714285714285739</v>
      </c>
      <c r="J37" s="16">
        <f t="shared" si="4"/>
        <v>0.2707142857142858</v>
      </c>
    </row>
    <row r="38" spans="8:10" x14ac:dyDescent="0.25">
      <c r="H38" s="16">
        <v>36</v>
      </c>
      <c r="I38" s="16">
        <f t="shared" si="3"/>
        <v>0.24628571428571452</v>
      </c>
      <c r="J38" s="16">
        <f t="shared" si="4"/>
        <v>0.26942857142857152</v>
      </c>
    </row>
    <row r="39" spans="8:10" x14ac:dyDescent="0.25">
      <c r="H39" s="16">
        <v>37</v>
      </c>
      <c r="I39" s="16">
        <f t="shared" si="3"/>
        <v>0.24542857142857166</v>
      </c>
      <c r="J39" s="16">
        <f t="shared" si="4"/>
        <v>0.26814285714285724</v>
      </c>
    </row>
    <row r="40" spans="8:10" x14ac:dyDescent="0.25">
      <c r="H40" s="16">
        <v>38</v>
      </c>
      <c r="I40" s="16">
        <f t="shared" si="3"/>
        <v>0.2445714285714288</v>
      </c>
      <c r="J40" s="16">
        <f t="shared" si="4"/>
        <v>0.26685714285714296</v>
      </c>
    </row>
    <row r="41" spans="8:10" x14ac:dyDescent="0.25">
      <c r="H41" s="16">
        <v>39</v>
      </c>
      <c r="I41" s="16">
        <f t="shared" si="3"/>
        <v>0.24371428571428594</v>
      </c>
      <c r="J41" s="16">
        <f t="shared" si="4"/>
        <v>0.26557142857142868</v>
      </c>
    </row>
    <row r="42" spans="8:10" x14ac:dyDescent="0.25">
      <c r="H42" s="16">
        <v>40</v>
      </c>
      <c r="I42" s="16">
        <f t="shared" si="3"/>
        <v>0.24285714285714308</v>
      </c>
      <c r="J42" s="16">
        <f t="shared" si="4"/>
        <v>0.2642857142857144</v>
      </c>
    </row>
    <row r="43" spans="8:10" x14ac:dyDescent="0.25">
      <c r="H43" s="16">
        <v>41</v>
      </c>
      <c r="I43" s="16">
        <f t="shared" si="3"/>
        <v>0.24200000000000021</v>
      </c>
      <c r="J43" s="16">
        <f t="shared" si="4"/>
        <v>0.26300000000000012</v>
      </c>
    </row>
    <row r="44" spans="8:10" x14ac:dyDescent="0.25">
      <c r="H44" s="16">
        <v>42</v>
      </c>
      <c r="I44" s="16">
        <f t="shared" si="3"/>
        <v>0.24114285714285735</v>
      </c>
      <c r="J44" s="16">
        <f t="shared" si="4"/>
        <v>0.26171428571428584</v>
      </c>
    </row>
    <row r="45" spans="8:10" x14ac:dyDescent="0.25">
      <c r="H45" s="16">
        <v>43</v>
      </c>
      <c r="I45" s="16">
        <f t="shared" si="3"/>
        <v>0.24028571428571449</v>
      </c>
      <c r="J45" s="16">
        <f t="shared" si="4"/>
        <v>0.26042857142857156</v>
      </c>
    </row>
    <row r="46" spans="8:10" x14ac:dyDescent="0.25">
      <c r="H46" s="16">
        <v>44</v>
      </c>
      <c r="I46" s="16">
        <f t="shared" si="3"/>
        <v>0.23942857142857163</v>
      </c>
      <c r="J46" s="16">
        <f t="shared" si="4"/>
        <v>0.25914285714285729</v>
      </c>
    </row>
    <row r="47" spans="8:10" x14ac:dyDescent="0.25">
      <c r="H47" s="16">
        <v>45</v>
      </c>
      <c r="I47" s="16">
        <f t="shared" si="3"/>
        <v>0.23857142857142877</v>
      </c>
      <c r="J47" s="16">
        <f t="shared" si="4"/>
        <v>0.25785714285714301</v>
      </c>
    </row>
    <row r="48" spans="8:10" x14ac:dyDescent="0.25">
      <c r="H48" s="16">
        <v>46</v>
      </c>
      <c r="I48" s="16">
        <f t="shared" si="3"/>
        <v>0.23771428571428591</v>
      </c>
      <c r="J48" s="16">
        <f t="shared" si="4"/>
        <v>0.25657142857142873</v>
      </c>
    </row>
    <row r="49" spans="8:10" x14ac:dyDescent="0.25">
      <c r="H49" s="16">
        <v>47</v>
      </c>
      <c r="I49" s="16">
        <f t="shared" si="3"/>
        <v>0.23685714285714304</v>
      </c>
      <c r="J49" s="16">
        <f t="shared" si="4"/>
        <v>0.25528571428571445</v>
      </c>
    </row>
    <row r="50" spans="8:10" x14ac:dyDescent="0.25">
      <c r="H50" s="16">
        <v>48</v>
      </c>
      <c r="I50" s="16">
        <f t="shared" si="3"/>
        <v>0.23600000000000018</v>
      </c>
      <c r="J50" s="16">
        <f t="shared" si="4"/>
        <v>0.25400000000000017</v>
      </c>
    </row>
    <row r="51" spans="8:10" x14ac:dyDescent="0.25">
      <c r="H51" s="16">
        <v>49</v>
      </c>
      <c r="I51" s="16">
        <f t="shared" si="3"/>
        <v>0.23514285714285732</v>
      </c>
      <c r="J51" s="16">
        <f t="shared" si="4"/>
        <v>0.25271428571428589</v>
      </c>
    </row>
    <row r="52" spans="8:10" x14ac:dyDescent="0.25">
      <c r="H52" s="16">
        <v>50</v>
      </c>
      <c r="I52" s="16">
        <f t="shared" si="3"/>
        <v>0.23428571428571446</v>
      </c>
      <c r="J52" s="16">
        <f t="shared" si="4"/>
        <v>0.25142857142857161</v>
      </c>
    </row>
    <row r="53" spans="8:10" x14ac:dyDescent="0.25">
      <c r="H53" s="16">
        <v>51</v>
      </c>
      <c r="I53" s="16">
        <f t="shared" si="3"/>
        <v>0.2334285714285716</v>
      </c>
      <c r="J53" s="16">
        <f t="shared" si="4"/>
        <v>0.25014285714285733</v>
      </c>
    </row>
    <row r="54" spans="8:10" x14ac:dyDescent="0.25">
      <c r="H54" s="16">
        <v>52</v>
      </c>
      <c r="I54" s="16">
        <f t="shared" si="3"/>
        <v>0.23257142857142873</v>
      </c>
      <c r="J54" s="16">
        <f t="shared" si="4"/>
        <v>0.24885714285714305</v>
      </c>
    </row>
    <row r="55" spans="8:10" x14ac:dyDescent="0.25">
      <c r="H55" s="16">
        <v>53</v>
      </c>
      <c r="I55" s="16">
        <f t="shared" si="3"/>
        <v>0.23171428571428587</v>
      </c>
      <c r="J55" s="16">
        <f t="shared" si="4"/>
        <v>0.24757142857142878</v>
      </c>
    </row>
    <row r="56" spans="8:10" x14ac:dyDescent="0.25">
      <c r="H56" s="16">
        <v>54</v>
      </c>
      <c r="I56" s="16">
        <f t="shared" si="3"/>
        <v>0.23085714285714301</v>
      </c>
      <c r="J56" s="16">
        <f t="shared" si="4"/>
        <v>0.2462857142857145</v>
      </c>
    </row>
    <row r="57" spans="8:10" x14ac:dyDescent="0.25">
      <c r="H57" s="16">
        <v>55</v>
      </c>
      <c r="I57" s="16">
        <f t="shared" si="3"/>
        <v>0.23000000000000015</v>
      </c>
      <c r="J57" s="16">
        <f t="shared" si="4"/>
        <v>0.24500000000000022</v>
      </c>
    </row>
    <row r="58" spans="8:10" x14ac:dyDescent="0.25">
      <c r="H58" s="16">
        <v>56</v>
      </c>
      <c r="I58" s="16">
        <f t="shared" si="3"/>
        <v>0.22914285714285729</v>
      </c>
      <c r="J58" s="16">
        <f t="shared" si="4"/>
        <v>0.24371428571428594</v>
      </c>
    </row>
    <row r="59" spans="8:10" x14ac:dyDescent="0.25">
      <c r="H59" s="16">
        <v>57</v>
      </c>
      <c r="I59" s="16">
        <f t="shared" si="3"/>
        <v>0.22828571428571443</v>
      </c>
      <c r="J59" s="16">
        <f t="shared" si="4"/>
        <v>0.24242857142857166</v>
      </c>
    </row>
    <row r="60" spans="8:10" x14ac:dyDescent="0.25">
      <c r="H60" s="16">
        <v>58</v>
      </c>
      <c r="I60" s="16">
        <f t="shared" si="3"/>
        <v>0.22742857142857156</v>
      </c>
      <c r="J60" s="16">
        <f t="shared" si="4"/>
        <v>0.24114285714285738</v>
      </c>
    </row>
    <row r="61" spans="8:10" x14ac:dyDescent="0.25">
      <c r="H61" s="16">
        <v>59</v>
      </c>
      <c r="I61" s="16">
        <f t="shared" si="3"/>
        <v>0.2265714285714287</v>
      </c>
      <c r="J61" s="16">
        <f t="shared" si="4"/>
        <v>0.2398571428571431</v>
      </c>
    </row>
    <row r="62" spans="8:10" x14ac:dyDescent="0.25">
      <c r="H62" s="16">
        <v>60</v>
      </c>
      <c r="I62" s="16">
        <f t="shared" si="3"/>
        <v>0.22571428571428584</v>
      </c>
      <c r="J62" s="16">
        <f t="shared" si="4"/>
        <v>0.23857142857142882</v>
      </c>
    </row>
    <row r="63" spans="8:10" x14ac:dyDescent="0.25">
      <c r="H63" s="16">
        <v>61</v>
      </c>
      <c r="I63" s="16">
        <f t="shared" si="3"/>
        <v>0.22485714285714298</v>
      </c>
      <c r="J63" s="16">
        <f t="shared" si="4"/>
        <v>0.23728571428571454</v>
      </c>
    </row>
    <row r="64" spans="8:10" x14ac:dyDescent="0.25">
      <c r="H64" s="16">
        <v>62</v>
      </c>
      <c r="I64" s="16">
        <f t="shared" si="3"/>
        <v>0.22400000000000012</v>
      </c>
      <c r="J64" s="16">
        <f t="shared" si="4"/>
        <v>0.23600000000000027</v>
      </c>
    </row>
    <row r="65" spans="8:10" x14ac:dyDescent="0.25">
      <c r="H65" s="16">
        <v>63</v>
      </c>
      <c r="I65" s="16">
        <f t="shared" si="3"/>
        <v>0.22314285714285725</v>
      </c>
      <c r="J65" s="16">
        <f t="shared" si="4"/>
        <v>0.23471428571428599</v>
      </c>
    </row>
    <row r="66" spans="8:10" x14ac:dyDescent="0.25">
      <c r="H66" s="16">
        <v>64</v>
      </c>
      <c r="I66" s="16">
        <f t="shared" si="3"/>
        <v>0.22228571428571439</v>
      </c>
      <c r="J66" s="16">
        <f t="shared" si="4"/>
        <v>0.23342857142857171</v>
      </c>
    </row>
    <row r="67" spans="8:10" x14ac:dyDescent="0.25">
      <c r="H67" s="16">
        <v>65</v>
      </c>
      <c r="I67" s="16">
        <f t="shared" si="3"/>
        <v>0.22142857142857153</v>
      </c>
      <c r="J67" s="16">
        <f t="shared" si="4"/>
        <v>0.23214285714285743</v>
      </c>
    </row>
    <row r="68" spans="8:10" x14ac:dyDescent="0.25">
      <c r="H68" s="16">
        <v>66</v>
      </c>
      <c r="I68" s="16">
        <f t="shared" ref="I68:I131" si="5">IFERROR(IF($H68&gt;=$A$23,B$23,VLOOKUP($H68,$A$3:$F$23,2,FALSE)),(VLOOKUP($H68,$A$3:$F$23,5,TRUE)-VLOOKUP($H68,$A$3:$F$23,2,TRUE))/VLOOKUP($H68,$A$3:$F$23,4,TRUE)+I67)</f>
        <v>0.22057142857142867</v>
      </c>
      <c r="J68" s="16">
        <f t="shared" ref="J68:J131" si="6">IFERROR(IF($H68&gt;=$A$23,C$23,VLOOKUP($H68,$A$3:$F$23,3,FALSE)),(VLOOKUP($H68,$A$3:$F$23,6,TRUE)-VLOOKUP($H68,$A$3:$F$23,3,TRUE))/VLOOKUP($H68,$A$3:$F$23,4,TRUE)+J67)</f>
        <v>0.23085714285714315</v>
      </c>
    </row>
    <row r="69" spans="8:10" x14ac:dyDescent="0.25">
      <c r="H69" s="16">
        <v>67</v>
      </c>
      <c r="I69" s="16">
        <f t="shared" si="5"/>
        <v>0.21971428571428581</v>
      </c>
      <c r="J69" s="16">
        <f t="shared" si="6"/>
        <v>0.22957142857142887</v>
      </c>
    </row>
    <row r="70" spans="8:10" x14ac:dyDescent="0.25">
      <c r="H70" s="16">
        <v>68</v>
      </c>
      <c r="I70" s="16">
        <f t="shared" si="5"/>
        <v>0.21885714285714294</v>
      </c>
      <c r="J70" s="16">
        <f t="shared" si="6"/>
        <v>0.22828571428571459</v>
      </c>
    </row>
    <row r="71" spans="8:10" x14ac:dyDescent="0.25">
      <c r="H71" s="16">
        <v>69</v>
      </c>
      <c r="I71" s="16">
        <f t="shared" si="5"/>
        <v>0.21800000000000008</v>
      </c>
      <c r="J71" s="16">
        <f t="shared" si="6"/>
        <v>0.22700000000000031</v>
      </c>
    </row>
    <row r="72" spans="8:10" x14ac:dyDescent="0.25">
      <c r="H72" s="16">
        <v>70</v>
      </c>
      <c r="I72" s="16">
        <f t="shared" si="5"/>
        <v>0.21714285714285722</v>
      </c>
      <c r="J72" s="16">
        <f t="shared" si="6"/>
        <v>0.22571428571428603</v>
      </c>
    </row>
    <row r="73" spans="8:10" x14ac:dyDescent="0.25">
      <c r="H73" s="16">
        <v>71</v>
      </c>
      <c r="I73" s="16">
        <f t="shared" si="5"/>
        <v>0.21628571428571436</v>
      </c>
      <c r="J73" s="16">
        <f t="shared" si="6"/>
        <v>0.22442857142857175</v>
      </c>
    </row>
    <row r="74" spans="8:10" x14ac:dyDescent="0.25">
      <c r="H74" s="16">
        <v>72</v>
      </c>
      <c r="I74" s="16">
        <f t="shared" si="5"/>
        <v>0.2154285714285715</v>
      </c>
      <c r="J74" s="16">
        <f t="shared" si="6"/>
        <v>0.22314285714285748</v>
      </c>
    </row>
    <row r="75" spans="8:10" x14ac:dyDescent="0.25">
      <c r="H75" s="16">
        <v>73</v>
      </c>
      <c r="I75" s="16">
        <f t="shared" si="5"/>
        <v>0.21457142857142864</v>
      </c>
      <c r="J75" s="16">
        <f t="shared" si="6"/>
        <v>0.2218571428571432</v>
      </c>
    </row>
    <row r="76" spans="8:10" x14ac:dyDescent="0.25">
      <c r="H76" s="16">
        <v>74</v>
      </c>
      <c r="I76" s="16">
        <f t="shared" si="5"/>
        <v>0.21371428571428577</v>
      </c>
      <c r="J76" s="16">
        <f t="shared" si="6"/>
        <v>0.22057142857142892</v>
      </c>
    </row>
    <row r="77" spans="8:10" x14ac:dyDescent="0.25">
      <c r="H77" s="16">
        <v>75</v>
      </c>
      <c r="I77" s="16">
        <f t="shared" si="5"/>
        <v>0.21285714285714291</v>
      </c>
      <c r="J77" s="16">
        <f t="shared" si="6"/>
        <v>0.21928571428571464</v>
      </c>
    </row>
    <row r="78" spans="8:10" x14ac:dyDescent="0.25">
      <c r="H78" s="16">
        <v>76</v>
      </c>
      <c r="I78" s="16">
        <f t="shared" si="5"/>
        <v>0.21200000000000005</v>
      </c>
      <c r="J78" s="16">
        <f t="shared" si="6"/>
        <v>0.21800000000000036</v>
      </c>
    </row>
    <row r="79" spans="8:10" x14ac:dyDescent="0.25">
      <c r="H79" s="16">
        <v>77</v>
      </c>
      <c r="I79" s="16">
        <f t="shared" si="5"/>
        <v>0.21114285714285719</v>
      </c>
      <c r="J79" s="16">
        <f t="shared" si="6"/>
        <v>0.21671428571428608</v>
      </c>
    </row>
    <row r="80" spans="8:10" x14ac:dyDescent="0.25">
      <c r="H80" s="16">
        <v>78</v>
      </c>
      <c r="I80" s="16">
        <f t="shared" si="5"/>
        <v>0.21028571428571433</v>
      </c>
      <c r="J80" s="16">
        <f t="shared" si="6"/>
        <v>0.2154285714285718</v>
      </c>
    </row>
    <row r="81" spans="8:10" x14ac:dyDescent="0.25">
      <c r="H81" s="16">
        <v>79</v>
      </c>
      <c r="I81" s="16">
        <f t="shared" si="5"/>
        <v>0.20942857142857146</v>
      </c>
      <c r="J81" s="16">
        <f t="shared" si="6"/>
        <v>0.21414285714285752</v>
      </c>
    </row>
    <row r="82" spans="8:10" x14ac:dyDescent="0.25">
      <c r="H82" s="16">
        <v>80</v>
      </c>
      <c r="I82" s="16">
        <f t="shared" si="5"/>
        <v>0.2085714285714286</v>
      </c>
      <c r="J82" s="16">
        <f t="shared" si="6"/>
        <v>0.21285714285714324</v>
      </c>
    </row>
    <row r="83" spans="8:10" x14ac:dyDescent="0.25">
      <c r="H83" s="16">
        <v>81</v>
      </c>
      <c r="I83" s="16">
        <f t="shared" si="5"/>
        <v>0.20771428571428574</v>
      </c>
      <c r="J83" s="16">
        <f t="shared" si="6"/>
        <v>0.21157142857142897</v>
      </c>
    </row>
    <row r="84" spans="8:10" x14ac:dyDescent="0.25">
      <c r="H84" s="16">
        <v>82</v>
      </c>
      <c r="I84" s="16">
        <f t="shared" si="5"/>
        <v>0.20685714285714288</v>
      </c>
      <c r="J84" s="16">
        <f t="shared" si="6"/>
        <v>0.21028571428571469</v>
      </c>
    </row>
    <row r="85" spans="8:10" x14ac:dyDescent="0.25">
      <c r="H85" s="16">
        <v>83</v>
      </c>
      <c r="I85" s="16">
        <f t="shared" si="5"/>
        <v>0.20600000000000002</v>
      </c>
      <c r="J85" s="16">
        <f t="shared" si="6"/>
        <v>0.20900000000000041</v>
      </c>
    </row>
    <row r="86" spans="8:10" x14ac:dyDescent="0.25">
      <c r="H86" s="16">
        <v>84</v>
      </c>
      <c r="I86" s="16">
        <f t="shared" si="5"/>
        <v>0.20514285714285715</v>
      </c>
      <c r="J86" s="16">
        <f t="shared" si="6"/>
        <v>0.20771428571428613</v>
      </c>
    </row>
    <row r="87" spans="8:10" x14ac:dyDescent="0.25">
      <c r="H87" s="16">
        <v>85</v>
      </c>
      <c r="I87" s="16">
        <f t="shared" si="5"/>
        <v>0.20428571428571429</v>
      </c>
      <c r="J87" s="16">
        <f t="shared" si="6"/>
        <v>0.20642857142857185</v>
      </c>
    </row>
    <row r="88" spans="8:10" x14ac:dyDescent="0.25">
      <c r="H88" s="16">
        <v>86</v>
      </c>
      <c r="I88" s="16">
        <f t="shared" si="5"/>
        <v>0.20342857142857143</v>
      </c>
      <c r="J88" s="16">
        <f t="shared" si="6"/>
        <v>0.20514285714285757</v>
      </c>
    </row>
    <row r="89" spans="8:10" x14ac:dyDescent="0.25">
      <c r="H89" s="16">
        <v>87</v>
      </c>
      <c r="I89" s="16">
        <f t="shared" si="5"/>
        <v>0.20257142857142857</v>
      </c>
      <c r="J89" s="16">
        <f t="shared" si="6"/>
        <v>0.20385714285714329</v>
      </c>
    </row>
    <row r="90" spans="8:10" x14ac:dyDescent="0.25">
      <c r="H90" s="16">
        <v>88</v>
      </c>
      <c r="I90" s="16">
        <f t="shared" si="5"/>
        <v>0.20171428571428571</v>
      </c>
      <c r="J90" s="16">
        <f t="shared" si="6"/>
        <v>0.20257142857142901</v>
      </c>
    </row>
    <row r="91" spans="8:10" x14ac:dyDescent="0.25">
      <c r="H91" s="16">
        <v>89</v>
      </c>
      <c r="I91" s="16">
        <f t="shared" si="5"/>
        <v>0.20085714285714285</v>
      </c>
      <c r="J91" s="16">
        <f t="shared" si="6"/>
        <v>0.20128571428571473</v>
      </c>
    </row>
    <row r="92" spans="8:10" x14ac:dyDescent="0.25">
      <c r="H92" s="16">
        <v>90</v>
      </c>
      <c r="I92" s="16">
        <f t="shared" si="5"/>
        <v>0.2</v>
      </c>
      <c r="J92" s="16">
        <f t="shared" si="6"/>
        <v>0.2</v>
      </c>
    </row>
    <row r="93" spans="8:10" x14ac:dyDescent="0.25">
      <c r="H93" s="16">
        <v>91</v>
      </c>
      <c r="I93" s="16">
        <f t="shared" si="5"/>
        <v>0.2</v>
      </c>
      <c r="J93" s="16">
        <f t="shared" si="6"/>
        <v>0.2</v>
      </c>
    </row>
    <row r="94" spans="8:10" x14ac:dyDescent="0.25">
      <c r="H94" s="16">
        <v>92</v>
      </c>
      <c r="I94" s="16">
        <f t="shared" si="5"/>
        <v>0.2</v>
      </c>
      <c r="J94" s="16">
        <f t="shared" si="6"/>
        <v>0.2</v>
      </c>
    </row>
    <row r="95" spans="8:10" x14ac:dyDescent="0.25">
      <c r="H95" s="16">
        <v>93</v>
      </c>
      <c r="I95" s="16">
        <f t="shared" si="5"/>
        <v>0.2</v>
      </c>
      <c r="J95" s="16">
        <f t="shared" si="6"/>
        <v>0.2</v>
      </c>
    </row>
    <row r="96" spans="8:10" x14ac:dyDescent="0.25">
      <c r="H96" s="16">
        <v>94</v>
      </c>
      <c r="I96" s="16">
        <f t="shared" si="5"/>
        <v>0.2</v>
      </c>
      <c r="J96" s="16">
        <f t="shared" si="6"/>
        <v>0.2</v>
      </c>
    </row>
    <row r="97" spans="8:10" x14ac:dyDescent="0.25">
      <c r="H97" s="16">
        <v>95</v>
      </c>
      <c r="I97" s="16">
        <f t="shared" si="5"/>
        <v>0.2</v>
      </c>
      <c r="J97" s="16">
        <f t="shared" si="6"/>
        <v>0.2</v>
      </c>
    </row>
    <row r="98" spans="8:10" x14ac:dyDescent="0.25">
      <c r="H98" s="16">
        <v>96</v>
      </c>
      <c r="I98" s="16">
        <f t="shared" si="5"/>
        <v>0.2</v>
      </c>
      <c r="J98" s="16">
        <f t="shared" si="6"/>
        <v>0.2</v>
      </c>
    </row>
    <row r="99" spans="8:10" x14ac:dyDescent="0.25">
      <c r="H99" s="16">
        <v>97</v>
      </c>
      <c r="I99" s="16">
        <f t="shared" si="5"/>
        <v>0.2</v>
      </c>
      <c r="J99" s="16">
        <f t="shared" si="6"/>
        <v>0.2</v>
      </c>
    </row>
    <row r="100" spans="8:10" x14ac:dyDescent="0.25">
      <c r="H100" s="16">
        <v>98</v>
      </c>
      <c r="I100" s="16">
        <f t="shared" si="5"/>
        <v>0.2</v>
      </c>
      <c r="J100" s="16">
        <f t="shared" si="6"/>
        <v>0.2</v>
      </c>
    </row>
    <row r="101" spans="8:10" x14ac:dyDescent="0.25">
      <c r="H101" s="16">
        <v>99</v>
      </c>
      <c r="I101" s="16">
        <f t="shared" si="5"/>
        <v>0.2</v>
      </c>
      <c r="J101" s="16">
        <f t="shared" si="6"/>
        <v>0.2</v>
      </c>
    </row>
    <row r="102" spans="8:10" x14ac:dyDescent="0.25">
      <c r="H102" s="16">
        <v>100</v>
      </c>
      <c r="I102" s="16">
        <f t="shared" si="5"/>
        <v>0.2</v>
      </c>
      <c r="J102" s="16">
        <f t="shared" si="6"/>
        <v>0.2</v>
      </c>
    </row>
    <row r="103" spans="8:10" x14ac:dyDescent="0.25">
      <c r="H103" s="16">
        <v>101</v>
      </c>
      <c r="I103" s="16">
        <f t="shared" si="5"/>
        <v>0.2</v>
      </c>
      <c r="J103" s="16">
        <f t="shared" si="6"/>
        <v>0.2</v>
      </c>
    </row>
    <row r="104" spans="8:10" x14ac:dyDescent="0.25">
      <c r="H104" s="16">
        <v>102</v>
      </c>
      <c r="I104" s="16">
        <f t="shared" si="5"/>
        <v>0.2</v>
      </c>
      <c r="J104" s="16">
        <f t="shared" si="6"/>
        <v>0.2</v>
      </c>
    </row>
    <row r="105" spans="8:10" x14ac:dyDescent="0.25">
      <c r="H105" s="16">
        <v>103</v>
      </c>
      <c r="I105" s="16">
        <f t="shared" si="5"/>
        <v>0.2</v>
      </c>
      <c r="J105" s="16">
        <f t="shared" si="6"/>
        <v>0.2</v>
      </c>
    </row>
    <row r="106" spans="8:10" x14ac:dyDescent="0.25">
      <c r="H106" s="16">
        <v>104</v>
      </c>
      <c r="I106" s="16">
        <f t="shared" si="5"/>
        <v>0.2</v>
      </c>
      <c r="J106" s="16">
        <f t="shared" si="6"/>
        <v>0.2</v>
      </c>
    </row>
    <row r="107" spans="8:10" x14ac:dyDescent="0.25">
      <c r="H107" s="16">
        <v>105</v>
      </c>
      <c r="I107" s="16">
        <f t="shared" si="5"/>
        <v>0.2</v>
      </c>
      <c r="J107" s="16">
        <f t="shared" si="6"/>
        <v>0.2</v>
      </c>
    </row>
    <row r="108" spans="8:10" x14ac:dyDescent="0.25">
      <c r="H108" s="16">
        <v>106</v>
      </c>
      <c r="I108" s="16">
        <f t="shared" si="5"/>
        <v>0.2</v>
      </c>
      <c r="J108" s="16">
        <f t="shared" si="6"/>
        <v>0.2</v>
      </c>
    </row>
    <row r="109" spans="8:10" x14ac:dyDescent="0.25">
      <c r="H109" s="16">
        <v>107</v>
      </c>
      <c r="I109" s="16">
        <f t="shared" si="5"/>
        <v>0.2</v>
      </c>
      <c r="J109" s="16">
        <f t="shared" si="6"/>
        <v>0.2</v>
      </c>
    </row>
    <row r="110" spans="8:10" x14ac:dyDescent="0.25">
      <c r="H110" s="16">
        <v>108</v>
      </c>
      <c r="I110" s="16">
        <f t="shared" si="5"/>
        <v>0.2</v>
      </c>
      <c r="J110" s="16">
        <f t="shared" si="6"/>
        <v>0.2</v>
      </c>
    </row>
    <row r="111" spans="8:10" x14ac:dyDescent="0.25">
      <c r="H111" s="16">
        <v>109</v>
      </c>
      <c r="I111" s="16">
        <f t="shared" si="5"/>
        <v>0.2</v>
      </c>
      <c r="J111" s="16">
        <f t="shared" si="6"/>
        <v>0.2</v>
      </c>
    </row>
    <row r="112" spans="8:10" x14ac:dyDescent="0.25">
      <c r="H112" s="16">
        <v>110</v>
      </c>
      <c r="I112" s="16">
        <f t="shared" si="5"/>
        <v>0.2</v>
      </c>
      <c r="J112" s="16">
        <f t="shared" si="6"/>
        <v>0.2</v>
      </c>
    </row>
    <row r="113" spans="8:10" x14ac:dyDescent="0.25">
      <c r="H113" s="16">
        <v>111</v>
      </c>
      <c r="I113" s="16">
        <f t="shared" si="5"/>
        <v>0.2</v>
      </c>
      <c r="J113" s="16">
        <f t="shared" si="6"/>
        <v>0.2</v>
      </c>
    </row>
    <row r="114" spans="8:10" x14ac:dyDescent="0.25">
      <c r="H114" s="16">
        <v>112</v>
      </c>
      <c r="I114" s="16">
        <f t="shared" si="5"/>
        <v>0.2</v>
      </c>
      <c r="J114" s="16">
        <f t="shared" si="6"/>
        <v>0.2</v>
      </c>
    </row>
    <row r="115" spans="8:10" x14ac:dyDescent="0.25">
      <c r="H115" s="16">
        <v>113</v>
      </c>
      <c r="I115" s="16">
        <f t="shared" si="5"/>
        <v>0.2</v>
      </c>
      <c r="J115" s="16">
        <f t="shared" si="6"/>
        <v>0.2</v>
      </c>
    </row>
    <row r="116" spans="8:10" x14ac:dyDescent="0.25">
      <c r="H116" s="16">
        <v>114</v>
      </c>
      <c r="I116" s="16">
        <f t="shared" si="5"/>
        <v>0.2</v>
      </c>
      <c r="J116" s="16">
        <f t="shared" si="6"/>
        <v>0.2</v>
      </c>
    </row>
    <row r="117" spans="8:10" x14ac:dyDescent="0.25">
      <c r="H117" s="16">
        <v>115</v>
      </c>
      <c r="I117" s="16">
        <f t="shared" si="5"/>
        <v>0.2</v>
      </c>
      <c r="J117" s="16">
        <f t="shared" si="6"/>
        <v>0.2</v>
      </c>
    </row>
    <row r="118" spans="8:10" x14ac:dyDescent="0.25">
      <c r="H118" s="16">
        <v>116</v>
      </c>
      <c r="I118" s="16">
        <f t="shared" si="5"/>
        <v>0.2</v>
      </c>
      <c r="J118" s="16">
        <f t="shared" si="6"/>
        <v>0.2</v>
      </c>
    </row>
    <row r="119" spans="8:10" x14ac:dyDescent="0.25">
      <c r="H119" s="16">
        <v>117</v>
      </c>
      <c r="I119" s="16">
        <f t="shared" si="5"/>
        <v>0.2</v>
      </c>
      <c r="J119" s="16">
        <f t="shared" si="6"/>
        <v>0.2</v>
      </c>
    </row>
    <row r="120" spans="8:10" x14ac:dyDescent="0.25">
      <c r="H120" s="16">
        <v>118</v>
      </c>
      <c r="I120" s="16">
        <f t="shared" si="5"/>
        <v>0.2</v>
      </c>
      <c r="J120" s="16">
        <f t="shared" si="6"/>
        <v>0.2</v>
      </c>
    </row>
    <row r="121" spans="8:10" x14ac:dyDescent="0.25">
      <c r="H121" s="16">
        <v>119</v>
      </c>
      <c r="I121" s="16">
        <f t="shared" si="5"/>
        <v>0.2</v>
      </c>
      <c r="J121" s="16">
        <f t="shared" si="6"/>
        <v>0.2</v>
      </c>
    </row>
    <row r="122" spans="8:10" x14ac:dyDescent="0.25">
      <c r="H122" s="16">
        <v>120</v>
      </c>
      <c r="I122" s="16">
        <f t="shared" si="5"/>
        <v>0.2</v>
      </c>
      <c r="J122" s="16">
        <f t="shared" si="6"/>
        <v>0.2</v>
      </c>
    </row>
    <row r="123" spans="8:10" x14ac:dyDescent="0.25">
      <c r="H123" s="16">
        <v>121</v>
      </c>
      <c r="I123" s="16">
        <f t="shared" si="5"/>
        <v>0.2</v>
      </c>
      <c r="J123" s="16">
        <f t="shared" si="6"/>
        <v>0.2</v>
      </c>
    </row>
    <row r="124" spans="8:10" x14ac:dyDescent="0.25">
      <c r="H124" s="16">
        <v>122</v>
      </c>
      <c r="I124" s="16">
        <f t="shared" si="5"/>
        <v>0.2</v>
      </c>
      <c r="J124" s="16">
        <f t="shared" si="6"/>
        <v>0.2</v>
      </c>
    </row>
    <row r="125" spans="8:10" x14ac:dyDescent="0.25">
      <c r="H125" s="16">
        <v>123</v>
      </c>
      <c r="I125" s="16">
        <f t="shared" si="5"/>
        <v>0.2</v>
      </c>
      <c r="J125" s="16">
        <f t="shared" si="6"/>
        <v>0.2</v>
      </c>
    </row>
    <row r="126" spans="8:10" x14ac:dyDescent="0.25">
      <c r="H126" s="16">
        <v>124</v>
      </c>
      <c r="I126" s="16">
        <f t="shared" si="5"/>
        <v>0.2</v>
      </c>
      <c r="J126" s="16">
        <f t="shared" si="6"/>
        <v>0.2</v>
      </c>
    </row>
    <row r="127" spans="8:10" x14ac:dyDescent="0.25">
      <c r="H127" s="16">
        <v>125</v>
      </c>
      <c r="I127" s="16">
        <f t="shared" si="5"/>
        <v>0.2</v>
      </c>
      <c r="J127" s="16">
        <f t="shared" si="6"/>
        <v>0.2</v>
      </c>
    </row>
    <row r="128" spans="8:10" x14ac:dyDescent="0.25">
      <c r="H128" s="16">
        <v>126</v>
      </c>
      <c r="I128" s="16">
        <f t="shared" si="5"/>
        <v>0.2</v>
      </c>
      <c r="J128" s="16">
        <f t="shared" si="6"/>
        <v>0.2</v>
      </c>
    </row>
    <row r="129" spans="8:10" x14ac:dyDescent="0.25">
      <c r="H129" s="16">
        <v>127</v>
      </c>
      <c r="I129" s="16">
        <f t="shared" si="5"/>
        <v>0.2</v>
      </c>
      <c r="J129" s="16">
        <f t="shared" si="6"/>
        <v>0.2</v>
      </c>
    </row>
    <row r="130" spans="8:10" x14ac:dyDescent="0.25">
      <c r="H130" s="16">
        <v>128</v>
      </c>
      <c r="I130" s="16">
        <f t="shared" si="5"/>
        <v>0.2</v>
      </c>
      <c r="J130" s="16">
        <f t="shared" si="6"/>
        <v>0.2</v>
      </c>
    </row>
    <row r="131" spans="8:10" x14ac:dyDescent="0.25">
      <c r="H131" s="16">
        <v>129</v>
      </c>
      <c r="I131" s="16">
        <f t="shared" si="5"/>
        <v>0.2</v>
      </c>
      <c r="J131" s="16">
        <f t="shared" si="6"/>
        <v>0.2</v>
      </c>
    </row>
    <row r="132" spans="8:10" x14ac:dyDescent="0.25">
      <c r="H132" s="16">
        <v>130</v>
      </c>
      <c r="I132" s="16">
        <f t="shared" ref="I132:I152" si="7">IFERROR(IF($H132&gt;=$A$23,B$23,VLOOKUP($H132,$A$3:$F$23,2,FALSE)),(VLOOKUP($H132,$A$3:$F$23,5,TRUE)-VLOOKUP($H132,$A$3:$F$23,2,TRUE))/VLOOKUP($H132,$A$3:$F$23,4,TRUE)+I131)</f>
        <v>0.2</v>
      </c>
      <c r="J132" s="16">
        <f t="shared" ref="J132:J152" si="8">IFERROR(IF($H132&gt;=$A$23,C$23,VLOOKUP($H132,$A$3:$F$23,3,FALSE)),(VLOOKUP($H132,$A$3:$F$23,6,TRUE)-VLOOKUP($H132,$A$3:$F$23,3,TRUE))/VLOOKUP($H132,$A$3:$F$23,4,TRUE)+J131)</f>
        <v>0.2</v>
      </c>
    </row>
    <row r="133" spans="8:10" x14ac:dyDescent="0.25">
      <c r="H133" s="16">
        <v>131</v>
      </c>
      <c r="I133" s="16">
        <f t="shared" si="7"/>
        <v>0.2</v>
      </c>
      <c r="J133" s="16">
        <f t="shared" si="8"/>
        <v>0.2</v>
      </c>
    </row>
    <row r="134" spans="8:10" x14ac:dyDescent="0.25">
      <c r="H134" s="16">
        <v>132</v>
      </c>
      <c r="I134" s="16">
        <f t="shared" si="7"/>
        <v>0.2</v>
      </c>
      <c r="J134" s="16">
        <f t="shared" si="8"/>
        <v>0.2</v>
      </c>
    </row>
    <row r="135" spans="8:10" x14ac:dyDescent="0.25">
      <c r="H135" s="16">
        <v>133</v>
      </c>
      <c r="I135" s="16">
        <f t="shared" si="7"/>
        <v>0.2</v>
      </c>
      <c r="J135" s="16">
        <f t="shared" si="8"/>
        <v>0.2</v>
      </c>
    </row>
    <row r="136" spans="8:10" x14ac:dyDescent="0.25">
      <c r="H136" s="16">
        <v>134</v>
      </c>
      <c r="I136" s="16">
        <f t="shared" si="7"/>
        <v>0.2</v>
      </c>
      <c r="J136" s="16">
        <f t="shared" si="8"/>
        <v>0.2</v>
      </c>
    </row>
    <row r="137" spans="8:10" x14ac:dyDescent="0.25">
      <c r="H137" s="16">
        <v>135</v>
      </c>
      <c r="I137" s="16">
        <f t="shared" si="7"/>
        <v>0.2</v>
      </c>
      <c r="J137" s="16">
        <f t="shared" si="8"/>
        <v>0.2</v>
      </c>
    </row>
    <row r="138" spans="8:10" x14ac:dyDescent="0.25">
      <c r="H138" s="16">
        <v>136</v>
      </c>
      <c r="I138" s="16">
        <f t="shared" si="7"/>
        <v>0.2</v>
      </c>
      <c r="J138" s="16">
        <f t="shared" si="8"/>
        <v>0.2</v>
      </c>
    </row>
    <row r="139" spans="8:10" x14ac:dyDescent="0.25">
      <c r="H139" s="16">
        <v>137</v>
      </c>
      <c r="I139" s="16">
        <f t="shared" si="7"/>
        <v>0.2</v>
      </c>
      <c r="J139" s="16">
        <f t="shared" si="8"/>
        <v>0.2</v>
      </c>
    </row>
    <row r="140" spans="8:10" x14ac:dyDescent="0.25">
      <c r="H140" s="16">
        <v>138</v>
      </c>
      <c r="I140" s="16">
        <f t="shared" si="7"/>
        <v>0.2</v>
      </c>
      <c r="J140" s="16">
        <f t="shared" si="8"/>
        <v>0.2</v>
      </c>
    </row>
    <row r="141" spans="8:10" x14ac:dyDescent="0.25">
      <c r="H141" s="16">
        <v>139</v>
      </c>
      <c r="I141" s="16">
        <f t="shared" si="7"/>
        <v>0.2</v>
      </c>
      <c r="J141" s="16">
        <f t="shared" si="8"/>
        <v>0.2</v>
      </c>
    </row>
    <row r="142" spans="8:10" x14ac:dyDescent="0.25">
      <c r="H142" s="16">
        <v>140</v>
      </c>
      <c r="I142" s="16">
        <f t="shared" si="7"/>
        <v>0.2</v>
      </c>
      <c r="J142" s="16">
        <f t="shared" si="8"/>
        <v>0.2</v>
      </c>
    </row>
    <row r="143" spans="8:10" x14ac:dyDescent="0.25">
      <c r="H143" s="16">
        <v>141</v>
      </c>
      <c r="I143" s="16">
        <f t="shared" si="7"/>
        <v>0.2</v>
      </c>
      <c r="J143" s="16">
        <f t="shared" si="8"/>
        <v>0.2</v>
      </c>
    </row>
    <row r="144" spans="8:10" x14ac:dyDescent="0.25">
      <c r="H144" s="16">
        <v>142</v>
      </c>
      <c r="I144" s="16">
        <f t="shared" si="7"/>
        <v>0.2</v>
      </c>
      <c r="J144" s="16">
        <f t="shared" si="8"/>
        <v>0.2</v>
      </c>
    </row>
    <row r="145" spans="8:10" x14ac:dyDescent="0.25">
      <c r="H145" s="16">
        <v>143</v>
      </c>
      <c r="I145" s="16">
        <f t="shared" si="7"/>
        <v>0.2</v>
      </c>
      <c r="J145" s="16">
        <f t="shared" si="8"/>
        <v>0.2</v>
      </c>
    </row>
    <row r="146" spans="8:10" x14ac:dyDescent="0.25">
      <c r="H146" s="16">
        <v>144</v>
      </c>
      <c r="I146" s="16">
        <f t="shared" si="7"/>
        <v>0.2</v>
      </c>
      <c r="J146" s="16">
        <f t="shared" si="8"/>
        <v>0.2</v>
      </c>
    </row>
    <row r="147" spans="8:10" x14ac:dyDescent="0.25">
      <c r="H147" s="16">
        <v>145</v>
      </c>
      <c r="I147" s="16">
        <f t="shared" si="7"/>
        <v>0.2</v>
      </c>
      <c r="J147" s="16">
        <f t="shared" si="8"/>
        <v>0.2</v>
      </c>
    </row>
    <row r="148" spans="8:10" x14ac:dyDescent="0.25">
      <c r="H148" s="16">
        <v>146</v>
      </c>
      <c r="I148" s="16">
        <f t="shared" si="7"/>
        <v>0.2</v>
      </c>
      <c r="J148" s="16">
        <f t="shared" si="8"/>
        <v>0.2</v>
      </c>
    </row>
    <row r="149" spans="8:10" x14ac:dyDescent="0.25">
      <c r="H149" s="16">
        <v>147</v>
      </c>
      <c r="I149" s="16">
        <f t="shared" si="7"/>
        <v>0.2</v>
      </c>
      <c r="J149" s="16">
        <f t="shared" si="8"/>
        <v>0.2</v>
      </c>
    </row>
    <row r="150" spans="8:10" x14ac:dyDescent="0.25">
      <c r="H150" s="16">
        <v>148</v>
      </c>
      <c r="I150" s="16">
        <f t="shared" si="7"/>
        <v>0.2</v>
      </c>
      <c r="J150" s="16">
        <f t="shared" si="8"/>
        <v>0.2</v>
      </c>
    </row>
    <row r="151" spans="8:10" x14ac:dyDescent="0.25">
      <c r="H151" s="16">
        <v>149</v>
      </c>
      <c r="I151" s="16">
        <f t="shared" si="7"/>
        <v>0.2</v>
      </c>
      <c r="J151" s="16">
        <f t="shared" si="8"/>
        <v>0.2</v>
      </c>
    </row>
    <row r="152" spans="8:10" x14ac:dyDescent="0.25">
      <c r="H152" s="16">
        <v>150</v>
      </c>
      <c r="I152" s="16">
        <f t="shared" si="7"/>
        <v>0.2</v>
      </c>
      <c r="J152" s="16">
        <f t="shared" si="8"/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RFR</vt:lpstr>
      <vt:lpstr>Feuil2</vt:lpstr>
      <vt:lpstr>Interpolation</vt:lpstr>
    </vt:vector>
  </TitlesOfParts>
  <Company>Banque de France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J843878</dc:creator>
  <cp:lastModifiedBy>J843878</cp:lastModifiedBy>
  <dcterms:created xsi:type="dcterms:W3CDTF">2018-06-08T13:36:48Z</dcterms:created>
  <dcterms:modified xsi:type="dcterms:W3CDTF">2019-03-04T14:54:48Z</dcterms:modified>
</cp:coreProperties>
</file>