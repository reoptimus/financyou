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-15" windowWidth="20190" windowHeight="4470"/>
  </bookViews>
  <sheets>
    <sheet name="Call_V1" sheetId="1" r:id="rId1"/>
  </sheets>
  <calcPr calcId="145621"/>
</workbook>
</file>

<file path=xl/calcChain.xml><?xml version="1.0" encoding="utf-8"?>
<calcChain xmlns="http://schemas.openxmlformats.org/spreadsheetml/2006/main">
  <c r="B1" i="1" l="1"/>
  <c r="H1" i="1" l="1"/>
  <c r="H6" i="1"/>
  <c r="C6" i="1" l="1"/>
  <c r="D6" i="1"/>
  <c r="E6" i="1"/>
  <c r="F6" i="1"/>
  <c r="G6" i="1"/>
  <c r="B6" i="1"/>
  <c r="C2" i="1" l="1"/>
  <c r="D1" i="1"/>
  <c r="E1" i="1"/>
  <c r="G1" i="1"/>
  <c r="F8" i="1"/>
  <c r="F1" i="1" s="1"/>
  <c r="C1" i="1"/>
  <c r="D2" i="1" l="1"/>
  <c r="E2" i="1" s="1"/>
  <c r="F2" i="1" s="1"/>
  <c r="G2" i="1" s="1"/>
  <c r="H2" i="1" s="1"/>
</calcChain>
</file>

<file path=xl/sharedStrings.xml><?xml version="1.0" encoding="utf-8"?>
<sst xmlns="http://schemas.openxmlformats.org/spreadsheetml/2006/main" count="9" uniqueCount="9">
  <si>
    <t>Maturite</t>
  </si>
  <si>
    <t>S</t>
  </si>
  <si>
    <t>K</t>
  </si>
  <si>
    <t>Prix call</t>
  </si>
  <si>
    <t>Date exp</t>
  </si>
  <si>
    <t>Date as of</t>
  </si>
  <si>
    <t>Pondération</t>
  </si>
  <si>
    <t>Pondération norm.</t>
  </si>
  <si>
    <t>IVM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</si>
</sst>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Fill="1"/>
    <xf numFmtId="14" fontId="0" fillId="0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B2" sqref="B2"/>
    </sheetView>
  </sheetViews>
  <sheetFormatPr baseColWidth="10" defaultRowHeight="15" x14ac:dyDescent="0.25"/>
  <sheetData>
    <row r="1" spans="1:8" x14ac:dyDescent="0.25">
      <c r="A1" t="s">
        <v>0</v>
      </c>
      <c r="B1" s="2">
        <f>(B$8-$B$9)/360</f>
        <v>0.80833333333333335</v>
      </c>
      <c r="C1" s="2">
        <f>(C$8-$B$9)/360</f>
        <v>0.80833333333333335</v>
      </c>
      <c r="D1" s="2">
        <f>(D$8-$B$9)/360</f>
        <v>1.8194444444444444</v>
      </c>
      <c r="E1" s="2">
        <f>(E$8-$B$9)/360</f>
        <v>2.8305555555555557</v>
      </c>
      <c r="F1" s="2">
        <f>(F$8-$B$9)/360</f>
        <v>2.8305555555555557</v>
      </c>
      <c r="G1" s="2">
        <f>(G$8-$B$9)/360</f>
        <v>7.9055555555555559</v>
      </c>
      <c r="H1" s="2">
        <f>(H$8-$B$9)/360</f>
        <v>8.9166666666666661</v>
      </c>
    </row>
    <row r="2" spans="1:8" x14ac:dyDescent="0.25">
      <c r="A2" t="s">
        <v>1</v>
      </c>
      <c r="B2">
        <v>3332.45</v>
      </c>
      <c r="C2">
        <f t="shared" ref="C2:H2" si="0">B2</f>
        <v>3332.45</v>
      </c>
      <c r="D2">
        <f t="shared" si="0"/>
        <v>3332.45</v>
      </c>
      <c r="E2">
        <f t="shared" si="0"/>
        <v>3332.45</v>
      </c>
      <c r="F2" s="3">
        <f t="shared" si="0"/>
        <v>3332.45</v>
      </c>
      <c r="G2">
        <f t="shared" si="0"/>
        <v>3332.45</v>
      </c>
      <c r="H2">
        <f t="shared" si="0"/>
        <v>3332.45</v>
      </c>
    </row>
    <row r="3" spans="1:8" x14ac:dyDescent="0.25">
      <c r="A3" t="s">
        <v>2</v>
      </c>
      <c r="B3">
        <v>3300</v>
      </c>
      <c r="C3">
        <v>3350</v>
      </c>
      <c r="D3">
        <v>3300</v>
      </c>
      <c r="E3">
        <v>3300</v>
      </c>
      <c r="F3" s="3">
        <v>3400</v>
      </c>
      <c r="G3">
        <v>3300</v>
      </c>
      <c r="H3">
        <v>3400</v>
      </c>
    </row>
    <row r="4" spans="1:8" x14ac:dyDescent="0.25">
      <c r="A4" t="s">
        <v>3</v>
      </c>
      <c r="B4">
        <v>156.5</v>
      </c>
      <c r="C4">
        <v>130</v>
      </c>
      <c r="D4">
        <v>196</v>
      </c>
      <c r="E4">
        <v>233.30000305175801</v>
      </c>
      <c r="F4" s="3">
        <v>191</v>
      </c>
      <c r="G4">
        <v>362.5</v>
      </c>
      <c r="H4">
        <v>400</v>
      </c>
    </row>
    <row r="5" spans="1:8" x14ac:dyDescent="0.25">
      <c r="A5" t="s">
        <v>6</v>
      </c>
      <c r="B5">
        <v>0.5</v>
      </c>
      <c r="C5">
        <v>0.5</v>
      </c>
      <c r="D5">
        <v>1</v>
      </c>
      <c r="E5">
        <v>1</v>
      </c>
      <c r="F5" s="3">
        <v>2</v>
      </c>
      <c r="G5">
        <v>2</v>
      </c>
      <c r="H5">
        <v>0.5</v>
      </c>
    </row>
    <row r="6" spans="1:8" x14ac:dyDescent="0.25">
      <c r="A6" t="s">
        <v>7</v>
      </c>
      <c r="B6">
        <f>B5/SUM($B$5:I5)</f>
        <v>6.6666666666666666E-2</v>
      </c>
      <c r="C6">
        <f>C5/SUM($B$5:J5)</f>
        <v>6.6666666666666666E-2</v>
      </c>
      <c r="D6">
        <f>D5/SUM($B$5:L5)</f>
        <v>0.13333333333333333</v>
      </c>
      <c r="E6">
        <f>E5/SUM($B$5:M5)</f>
        <v>0.13333333333333333</v>
      </c>
      <c r="F6" s="3">
        <f>F5/SUM($B$5:N5)</f>
        <v>0.26666666666666666</v>
      </c>
      <c r="G6">
        <f>G5/SUM($B$5:O5)</f>
        <v>0.26666666666666666</v>
      </c>
      <c r="H6">
        <f>H5/SUM($B$5:P5)</f>
        <v>6.6666666666666666E-2</v>
      </c>
    </row>
    <row r="7" spans="1:8" x14ac:dyDescent="0.25">
      <c r="A7" t="s">
        <v>8</v>
      </c>
      <c r="B7">
        <v>16.3896598815918</v>
      </c>
      <c r="C7">
        <v>15.973229408264199</v>
      </c>
      <c r="D7">
        <v>16.5478515625</v>
      </c>
      <c r="E7">
        <v>16.85144715397</v>
      </c>
      <c r="F7" s="3">
        <v>16.632104873657202</v>
      </c>
      <c r="G7">
        <v>0</v>
      </c>
      <c r="H7">
        <v>21.896148672250199</v>
      </c>
    </row>
    <row r="8" spans="1:8" x14ac:dyDescent="0.25">
      <c r="A8" t="s">
        <v>4</v>
      </c>
      <c r="B8" s="1">
        <v>43455</v>
      </c>
      <c r="C8" s="1">
        <v>43455</v>
      </c>
      <c r="D8" s="1">
        <v>43819</v>
      </c>
      <c r="E8" s="1">
        <v>44183</v>
      </c>
      <c r="F8" s="4">
        <f>E8</f>
        <v>44183</v>
      </c>
      <c r="G8" s="1">
        <v>46010</v>
      </c>
      <c r="H8" s="1">
        <v>46374</v>
      </c>
    </row>
    <row r="9" spans="1:8" x14ac:dyDescent="0.25">
      <c r="A9" t="s">
        <v>5</v>
      </c>
      <c r="B9" s="1">
        <v>43164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Call_V1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GALLET Sebastien (UA 2771)</dc:creator>
  <cp:lastModifiedBy>J843878</cp:lastModifiedBy>
  <dcterms:created xsi:type="dcterms:W3CDTF">2018-06-07T09:01:01Z</dcterms:created>
  <dcterms:modified xsi:type="dcterms:W3CDTF">2018-11-29T14:46:27Z</dcterms:modified>
</cp:coreProperties>
</file>