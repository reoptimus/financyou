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20184" windowHeight="4464"/>
  </bookViews>
  <sheets>
    <sheet name="Call_V1" sheetId="1" r:id="rId1"/>
  </sheets>
  <calcPr calcId="145621"/>
</workbook>
</file>

<file path=xl/calcChain.xml><?xml version="1.0" encoding="utf-8"?>
<calcChain xmlns="http://schemas.openxmlformats.org/spreadsheetml/2006/main">
  <c r="K16" i="1" l="1"/>
  <c r="F1" i="1"/>
  <c r="K17" i="1" l="1"/>
  <c r="K18" i="1"/>
  <c r="L18" i="1"/>
  <c r="K19" i="1" s="1"/>
  <c r="K21" i="1" s="1"/>
  <c r="K12" i="1"/>
  <c r="H2" i="1"/>
  <c r="H1" i="1"/>
  <c r="H6" i="1"/>
  <c r="K20" i="1" l="1"/>
  <c r="K22" i="1" s="1"/>
  <c r="K23" i="1" s="1"/>
  <c r="D2" i="1"/>
  <c r="C6" i="1" l="1"/>
  <c r="D6" i="1"/>
  <c r="E6" i="1"/>
  <c r="F6" i="1"/>
  <c r="G6" i="1"/>
  <c r="B6" i="1"/>
  <c r="C2" i="1" l="1"/>
  <c r="E2" i="1" s="1"/>
  <c r="F2" i="1" s="1"/>
  <c r="G2" i="1" s="1"/>
  <c r="D1" i="1"/>
  <c r="E1" i="1"/>
  <c r="G1" i="1"/>
  <c r="F8" i="1"/>
  <c r="B1" i="1"/>
  <c r="C1" i="1"/>
</calcChain>
</file>

<file path=xl/sharedStrings.xml><?xml version="1.0" encoding="utf-8"?>
<sst xmlns="http://schemas.openxmlformats.org/spreadsheetml/2006/main" count="32" uniqueCount="23">
  <si>
    <t>Maturite</t>
  </si>
  <si>
    <t>S</t>
  </si>
  <si>
    <t>K</t>
  </si>
  <si>
    <t>Prix call</t>
  </si>
  <si>
    <t>Date exp</t>
  </si>
  <si>
    <t>Date as of</t>
  </si>
  <si>
    <t>Pondération</t>
  </si>
  <si>
    <t>Pondération norm.</t>
  </si>
  <si>
    <t>Variance</t>
  </si>
  <si>
    <t>Ecart type</t>
  </si>
  <si>
    <t>Volatilité=</t>
  </si>
  <si>
    <t>IVM</t>
  </si>
  <si>
    <t>d1</t>
  </si>
  <si>
    <t>T</t>
  </si>
  <si>
    <t>Sigma</t>
  </si>
  <si>
    <t>d2</t>
  </si>
  <si>
    <t>N(d1)</t>
  </si>
  <si>
    <t>Taux SR</t>
  </si>
  <si>
    <t>C</t>
  </si>
  <si>
    <t>N(d2)</t>
  </si>
  <si>
    <t>Exact/360</t>
  </si>
  <si>
    <t>Volatilité implicite</t>
  </si>
  <si>
    <t>Exact/365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</si>
</sst>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42" applyNumberFormat="1" applyFont="1"/>
    <xf numFmtId="164" fontId="0" fillId="0" borderId="0" xfId="0" applyNumberFormat="1"/>
    <xf numFmtId="0" fontId="0" fillId="0" borderId="0" xfId="0" applyNumberFormat="1" applyFill="1"/>
    <xf numFmtId="0" fontId="0" fillId="0" borderId="0" xfId="0" applyFill="1"/>
    <xf numFmtId="14" fontId="0" fillId="0" borderId="0" xfId="0" applyNumberFormat="1" applyFill="1"/>
    <xf numFmtId="9" fontId="0" fillId="0" borderId="0" xfId="42" applyFo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586740</xdr:colOff>
      <xdr:row>11</xdr:row>
      <xdr:rowOff>83626</xdr:rowOff>
    </xdr:from>
    <xdr:to>
      <xdr:col>8</xdr:col>
      <xdr:colOff>121920</xdr:colOff>
      <xdr:row>31</xdr:row>
      <xdr:rowOff>8018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1700" y="2095306"/>
          <a:ext cx="4290060" cy="3581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activeCell="G10" sqref="G10"/>
    </sheetView>
  </sheetViews>
  <sheetFormatPr baseColWidth="10" defaultRowHeight="14.4" x14ac:dyDescent="0.3"/>
  <sheetData>
    <row r="1" spans="1:14" x14ac:dyDescent="0.3">
      <c r="A1" t="s">
        <v>0</v>
      </c>
      <c r="B1" s="2">
        <f t="shared" ref="B1:C1" si="0">(B$8-$B$9)/360</f>
        <v>0.80833333333333335</v>
      </c>
      <c r="C1" s="2">
        <f t="shared" si="0"/>
        <v>0.80833333333333335</v>
      </c>
      <c r="D1" s="2">
        <f>(D$8-$B$9)/360</f>
        <v>1.8194444444444444</v>
      </c>
      <c r="E1" s="2">
        <f>(E$8-$B$9)/360</f>
        <v>2.8305555555555557</v>
      </c>
      <c r="F1" s="2">
        <f>(F$8-$B$9)/360</f>
        <v>2.8305555555555557</v>
      </c>
      <c r="G1" s="2">
        <f>(G$8-$B$9)/360</f>
        <v>7.9055555555555559</v>
      </c>
      <c r="H1" s="2">
        <f>(H$8-$B$9)/360</f>
        <v>8.9166666666666661</v>
      </c>
      <c r="K1" t="s">
        <v>0</v>
      </c>
      <c r="L1" s="5">
        <v>2.7917808219178082</v>
      </c>
      <c r="M1" t="s">
        <v>22</v>
      </c>
    </row>
    <row r="2" spans="1:14" x14ac:dyDescent="0.3">
      <c r="A2" t="s">
        <v>1</v>
      </c>
      <c r="B2">
        <v>3332.45</v>
      </c>
      <c r="C2">
        <f t="shared" ref="C2:H2" si="1">B2</f>
        <v>3332.45</v>
      </c>
      <c r="D2">
        <f t="shared" si="1"/>
        <v>3332.45</v>
      </c>
      <c r="E2">
        <f t="shared" si="1"/>
        <v>3332.45</v>
      </c>
      <c r="F2" s="6">
        <f t="shared" si="1"/>
        <v>3332.45</v>
      </c>
      <c r="G2">
        <f t="shared" si="1"/>
        <v>3332.45</v>
      </c>
      <c r="H2">
        <f t="shared" si="1"/>
        <v>3332.45</v>
      </c>
      <c r="K2" t="s">
        <v>1</v>
      </c>
      <c r="L2">
        <v>3332.45</v>
      </c>
    </row>
    <row r="3" spans="1:14" x14ac:dyDescent="0.3">
      <c r="A3" t="s">
        <v>2</v>
      </c>
      <c r="B3">
        <v>3300</v>
      </c>
      <c r="C3">
        <v>3350</v>
      </c>
      <c r="D3">
        <v>3300</v>
      </c>
      <c r="E3">
        <v>3300</v>
      </c>
      <c r="F3" s="6">
        <v>3400</v>
      </c>
      <c r="G3">
        <v>3300</v>
      </c>
      <c r="H3">
        <v>3400</v>
      </c>
      <c r="K3" t="s">
        <v>2</v>
      </c>
      <c r="L3">
        <v>3400</v>
      </c>
    </row>
    <row r="4" spans="1:14" x14ac:dyDescent="0.3">
      <c r="A4" t="s">
        <v>3</v>
      </c>
      <c r="B4">
        <v>156.5</v>
      </c>
      <c r="C4">
        <v>130</v>
      </c>
      <c r="D4">
        <v>196</v>
      </c>
      <c r="E4">
        <v>233.30000305175801</v>
      </c>
      <c r="F4" s="6">
        <v>191</v>
      </c>
      <c r="G4">
        <v>362.5</v>
      </c>
      <c r="H4">
        <v>400</v>
      </c>
      <c r="K4" t="s">
        <v>3</v>
      </c>
      <c r="L4">
        <v>191</v>
      </c>
    </row>
    <row r="5" spans="1:14" x14ac:dyDescent="0.3">
      <c r="A5" t="s">
        <v>6</v>
      </c>
      <c r="B5">
        <v>0.5</v>
      </c>
      <c r="C5">
        <v>0.5</v>
      </c>
      <c r="D5">
        <v>1</v>
      </c>
      <c r="E5">
        <v>1</v>
      </c>
      <c r="F5" s="6">
        <v>2</v>
      </c>
      <c r="G5">
        <v>2</v>
      </c>
      <c r="H5">
        <v>0.5</v>
      </c>
      <c r="K5" t="s">
        <v>11</v>
      </c>
      <c r="L5">
        <v>16.632104873657202</v>
      </c>
    </row>
    <row r="6" spans="1:14" x14ac:dyDescent="0.3">
      <c r="A6" t="s">
        <v>7</v>
      </c>
      <c r="B6">
        <f>B5/SUM($B$5:N5)</f>
        <v>2.0719286718573978E-2</v>
      </c>
      <c r="C6">
        <f>C5/SUM($B$5:O5)</f>
        <v>2.0719286718573978E-2</v>
      </c>
      <c r="D6">
        <f>D5/SUM($B$5:Q5)</f>
        <v>4.1438573437147956E-2</v>
      </c>
      <c r="E6">
        <f>E5/SUM($B$5:R5)</f>
        <v>4.1438573437147956E-2</v>
      </c>
      <c r="F6" s="6">
        <f>F5/SUM($B$5:S5)</f>
        <v>8.2877146874295912E-2</v>
      </c>
      <c r="G6">
        <f>G5/SUM($B$5:T5)</f>
        <v>8.2877146874295912E-2</v>
      </c>
      <c r="H6">
        <f>H5/SUM($B$5:U5)</f>
        <v>2.0719286718573978E-2</v>
      </c>
      <c r="K6" t="s">
        <v>4</v>
      </c>
      <c r="L6" s="1">
        <v>44183</v>
      </c>
    </row>
    <row r="7" spans="1:14" x14ac:dyDescent="0.3">
      <c r="A7" t="s">
        <v>11</v>
      </c>
      <c r="B7">
        <v>16.3896598815918</v>
      </c>
      <c r="C7">
        <v>15.973229408264199</v>
      </c>
      <c r="D7">
        <v>16.5478515625</v>
      </c>
      <c r="E7">
        <v>16.85144715397</v>
      </c>
      <c r="F7" s="6">
        <v>16.632104873657202</v>
      </c>
      <c r="G7">
        <v>0</v>
      </c>
      <c r="H7">
        <v>21.896148672250199</v>
      </c>
      <c r="K7" t="s">
        <v>5</v>
      </c>
      <c r="L7" s="1">
        <v>43164</v>
      </c>
    </row>
    <row r="8" spans="1:14" x14ac:dyDescent="0.3">
      <c r="A8" t="s">
        <v>4</v>
      </c>
      <c r="B8" s="1">
        <v>43455</v>
      </c>
      <c r="C8" s="1">
        <v>43455</v>
      </c>
      <c r="D8" s="1">
        <v>43819</v>
      </c>
      <c r="E8" s="1">
        <v>44183</v>
      </c>
      <c r="F8" s="7">
        <f>E8</f>
        <v>44183</v>
      </c>
      <c r="G8" s="1">
        <v>46010</v>
      </c>
      <c r="H8" s="1">
        <v>46374</v>
      </c>
    </row>
    <row r="9" spans="1:14" x14ac:dyDescent="0.3">
      <c r="A9" t="s">
        <v>5</v>
      </c>
      <c r="B9" s="1">
        <v>43164</v>
      </c>
    </row>
    <row r="10" spans="1:14" x14ac:dyDescent="0.3">
      <c r="K10" t="s">
        <v>10</v>
      </c>
    </row>
    <row r="11" spans="1:14" x14ac:dyDescent="0.3">
      <c r="J11" t="s">
        <v>8</v>
      </c>
      <c r="K11" t="s">
        <v>9</v>
      </c>
    </row>
    <row r="12" spans="1:14" x14ac:dyDescent="0.3">
      <c r="J12">
        <v>5.7000000000000002E-2</v>
      </c>
      <c r="K12">
        <f>J12^0.5</f>
        <v>0.23874672772626646</v>
      </c>
    </row>
    <row r="14" spans="1:14" x14ac:dyDescent="0.3">
      <c r="J14" t="s">
        <v>17</v>
      </c>
      <c r="K14" s="4">
        <v>0.02</v>
      </c>
    </row>
    <row r="15" spans="1:14" x14ac:dyDescent="0.3">
      <c r="J15" t="s">
        <v>14</v>
      </c>
      <c r="K15" s="4">
        <v>5.7000000000000002E-2</v>
      </c>
      <c r="L15" t="s">
        <v>21</v>
      </c>
      <c r="N15" s="8"/>
    </row>
    <row r="16" spans="1:14" x14ac:dyDescent="0.3">
      <c r="J16" s="4" t="s">
        <v>13</v>
      </c>
      <c r="K16">
        <f>L1</f>
        <v>2.7917808219178082</v>
      </c>
      <c r="L16" t="s">
        <v>20</v>
      </c>
    </row>
    <row r="17" spans="10:12" x14ac:dyDescent="0.3">
      <c r="J17" s="3" t="s">
        <v>1</v>
      </c>
      <c r="K17">
        <f t="shared" ref="K17:K18" si="2">F2</f>
        <v>3332.45</v>
      </c>
    </row>
    <row r="18" spans="10:12" x14ac:dyDescent="0.3">
      <c r="J18" s="3" t="s">
        <v>2</v>
      </c>
      <c r="K18">
        <f t="shared" si="2"/>
        <v>3400</v>
      </c>
      <c r="L18">
        <f>K18*EXP(-K14*K16)</f>
        <v>3215.3615711740913</v>
      </c>
    </row>
    <row r="19" spans="10:12" x14ac:dyDescent="0.3">
      <c r="J19" s="3" t="s">
        <v>12</v>
      </c>
      <c r="K19">
        <f>LN(K17/L18)/(K15*(K16^0.5))+(K15*(K16^0.5))/2</f>
        <v>0.42317892935289714</v>
      </c>
    </row>
    <row r="20" spans="10:12" x14ac:dyDescent="0.3">
      <c r="J20" s="3" t="s">
        <v>15</v>
      </c>
      <c r="K20">
        <f>K19-K15*K16^0.5</f>
        <v>0.32793977831504423</v>
      </c>
    </row>
    <row r="21" spans="10:12" x14ac:dyDescent="0.3">
      <c r="J21" s="3" t="s">
        <v>16</v>
      </c>
      <c r="K21">
        <f>NORMDIST(K19,0,1,TRUE)</f>
        <v>0.66391764062336711</v>
      </c>
    </row>
    <row r="22" spans="10:12" x14ac:dyDescent="0.3">
      <c r="J22" s="3" t="s">
        <v>19</v>
      </c>
      <c r="K22">
        <f>NORMDIST(K20,0,1,TRUE)</f>
        <v>0.62852140169449799</v>
      </c>
    </row>
    <row r="23" spans="10:12" x14ac:dyDescent="0.3">
      <c r="J23" s="3" t="s">
        <v>18</v>
      </c>
      <c r="K23">
        <f>K17*K21-K18*EXP(-K14*K16)*K22</f>
        <v>191.5487798263764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Call_V1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GALLET Sebastien (UA 2771)</dc:creator>
  <cp:lastModifiedBy>J843878</cp:lastModifiedBy>
  <dcterms:created xsi:type="dcterms:W3CDTF">2018-06-07T09:01:01Z</dcterms:created>
  <dcterms:modified xsi:type="dcterms:W3CDTF">2018-06-07T17:17:40Z</dcterms:modified>
</cp:coreProperties>
</file>