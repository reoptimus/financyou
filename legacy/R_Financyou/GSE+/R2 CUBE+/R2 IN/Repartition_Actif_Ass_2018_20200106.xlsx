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_Financyou\GSE+\R2 CUBE+\R2 IN\"/>
    </mc:Choice>
  </mc:AlternateContent>
  <xr:revisionPtr revIDLastSave="0" documentId="13_ncr:40001_{5F9A6AEE-F44A-485F-A0FA-71E02B51C672}" xr6:coauthVersionLast="45" xr6:coauthVersionMax="45" xr10:uidLastSave="{00000000-0000-0000-0000-000000000000}"/>
  <bookViews>
    <workbookView xWindow="3210" yWindow="4020" windowWidth="11730" windowHeight="10680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I6" i="1"/>
  <c r="I5" i="1"/>
  <c r="I4" i="1" s="1"/>
  <c r="I3" i="1"/>
  <c r="H12" i="1"/>
  <c r="D9" i="1"/>
  <c r="E9" i="1"/>
  <c r="C9" i="1"/>
  <c r="C4" i="1"/>
  <c r="D4" i="1"/>
  <c r="E4" i="1"/>
  <c r="C5" i="1"/>
  <c r="D5" i="1"/>
  <c r="E5" i="1"/>
  <c r="C6" i="1"/>
  <c r="D6" i="1"/>
  <c r="E6" i="1"/>
  <c r="D3" i="1"/>
  <c r="E3" i="1"/>
  <c r="C3" i="1"/>
  <c r="F12" i="1" l="1"/>
  <c r="G5" i="1" s="1"/>
  <c r="G10" i="1" l="1"/>
  <c r="G3" i="1"/>
  <c r="G9" i="1"/>
  <c r="G12" i="1"/>
  <c r="G6" i="1"/>
  <c r="G4" i="1" s="1"/>
  <c r="G11" i="1"/>
</calcChain>
</file>

<file path=xl/sharedStrings.xml><?xml version="1.0" encoding="utf-8"?>
<sst xmlns="http://schemas.openxmlformats.org/spreadsheetml/2006/main" count="18" uniqueCount="17">
  <si>
    <t>oblig souv</t>
  </si>
  <si>
    <t>oblig fi</t>
  </si>
  <si>
    <t>oblig SNF</t>
  </si>
  <si>
    <t>Actions</t>
  </si>
  <si>
    <t>Oblig corpo</t>
  </si>
  <si>
    <t>Immo</t>
  </si>
  <si>
    <t>somme</t>
  </si>
  <si>
    <t>AAA</t>
  </si>
  <si>
    <t>AA</t>
  </si>
  <si>
    <t>BBB</t>
  </si>
  <si>
    <t>Finance</t>
  </si>
  <si>
    <t>industrie</t>
  </si>
  <si>
    <t>new tech</t>
  </si>
  <si>
    <t xml:space="preserve">Total </t>
  </si>
  <si>
    <t>Eur bull</t>
  </si>
  <si>
    <t>%</t>
  </si>
  <si>
    <t>UC 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</si>
</sst>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  <xf numFmtId="0" fontId="0" fillId="3" borderId="0" xfId="0" applyFill="1"/>
    <xf numFmtId="164" fontId="0" fillId="3" borderId="0" xfId="1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H14" sqref="H14"/>
    </sheetView>
  </sheetViews>
  <sheetFormatPr baseColWidth="10" defaultRowHeight="15" x14ac:dyDescent="0.25"/>
  <sheetData>
    <row r="1" spans="1:9" x14ac:dyDescent="0.25">
      <c r="C1" t="s">
        <v>7</v>
      </c>
      <c r="D1" t="s">
        <v>8</v>
      </c>
      <c r="E1" t="s">
        <v>9</v>
      </c>
      <c r="G1" t="s">
        <v>13</v>
      </c>
    </row>
    <row r="2" spans="1:9" x14ac:dyDescent="0.25">
      <c r="C2">
        <v>8</v>
      </c>
      <c r="D2">
        <v>69</v>
      </c>
      <c r="E2">
        <v>21</v>
      </c>
      <c r="F2" t="s">
        <v>14</v>
      </c>
      <c r="G2" t="s">
        <v>15</v>
      </c>
      <c r="H2" t="s">
        <v>16</v>
      </c>
      <c r="I2" t="s">
        <v>15</v>
      </c>
    </row>
    <row r="3" spans="1:9" x14ac:dyDescent="0.25">
      <c r="A3" s="4" t="s">
        <v>0</v>
      </c>
      <c r="B3" s="4"/>
      <c r="C3" s="5">
        <f>C$2/SUM($C$2:$E$2)</f>
        <v>8.1632653061224483E-2</v>
      </c>
      <c r="D3" s="5">
        <f t="shared" ref="D3:E6" si="0">D$2/SUM($C$2:$E$2)</f>
        <v>0.70408163265306123</v>
      </c>
      <c r="E3" s="5">
        <f t="shared" si="0"/>
        <v>0.21428571428571427</v>
      </c>
      <c r="F3">
        <v>30.1</v>
      </c>
      <c r="G3" s="5">
        <f>F3/F$12</f>
        <v>0.32896174863387978</v>
      </c>
      <c r="H3">
        <v>6.5</v>
      </c>
      <c r="I3" s="5">
        <f>H3/H$12</f>
        <v>9.4614264919941793E-2</v>
      </c>
    </row>
    <row r="4" spans="1:9" x14ac:dyDescent="0.25">
      <c r="A4" s="4" t="s">
        <v>4</v>
      </c>
      <c r="B4" s="4"/>
      <c r="C4" s="5">
        <f t="shared" ref="C4:C6" si="1">C$2/SUM($C$2:$E$2)</f>
        <v>8.1632653061224483E-2</v>
      </c>
      <c r="D4" s="5">
        <f t="shared" si="0"/>
        <v>0.70408163265306123</v>
      </c>
      <c r="E4" s="5">
        <f t="shared" si="0"/>
        <v>0.21428571428571427</v>
      </c>
      <c r="G4" s="5">
        <f>G5+G6</f>
        <v>0.50382513661202188</v>
      </c>
      <c r="I4" s="5">
        <f>I5+I6</f>
        <v>0.40465793304221259</v>
      </c>
    </row>
    <row r="5" spans="1:9" x14ac:dyDescent="0.25">
      <c r="B5" s="2" t="s">
        <v>1</v>
      </c>
      <c r="C5" s="3">
        <f t="shared" si="1"/>
        <v>8.1632653061224483E-2</v>
      </c>
      <c r="D5" s="3">
        <f t="shared" si="0"/>
        <v>0.70408163265306123</v>
      </c>
      <c r="E5" s="3">
        <f t="shared" si="0"/>
        <v>0.21428571428571427</v>
      </c>
      <c r="F5" s="2">
        <v>30.6</v>
      </c>
      <c r="G5" s="3">
        <f>F5/F$12</f>
        <v>0.33442622950819673</v>
      </c>
      <c r="H5">
        <v>22.7</v>
      </c>
      <c r="I5" s="3">
        <f>H5/H$12</f>
        <v>0.33042212518195058</v>
      </c>
    </row>
    <row r="6" spans="1:9" x14ac:dyDescent="0.25">
      <c r="B6" s="2" t="s">
        <v>2</v>
      </c>
      <c r="C6" s="3">
        <f t="shared" si="1"/>
        <v>8.1632653061224483E-2</v>
      </c>
      <c r="D6" s="3">
        <f t="shared" si="0"/>
        <v>0.70408163265306123</v>
      </c>
      <c r="E6" s="3">
        <f t="shared" si="0"/>
        <v>0.21428571428571427</v>
      </c>
      <c r="F6" s="2">
        <v>15.5</v>
      </c>
      <c r="G6" s="3">
        <f>F6/F$12</f>
        <v>0.16939890710382513</v>
      </c>
      <c r="H6">
        <v>5.0999999999999996</v>
      </c>
      <c r="I6" s="3">
        <f>H6/H$12</f>
        <v>7.4235807860262015E-2</v>
      </c>
    </row>
    <row r="7" spans="1:9" x14ac:dyDescent="0.25">
      <c r="C7" s="1" t="s">
        <v>10</v>
      </c>
      <c r="D7" s="1" t="s">
        <v>11</v>
      </c>
      <c r="E7" s="1" t="s">
        <v>12</v>
      </c>
      <c r="G7" s="1"/>
      <c r="I7" s="1"/>
    </row>
    <row r="8" spans="1:9" x14ac:dyDescent="0.25">
      <c r="C8">
        <v>21</v>
      </c>
      <c r="D8">
        <v>32</v>
      </c>
      <c r="E8">
        <v>16</v>
      </c>
      <c r="G8" s="1"/>
      <c r="I8" s="1"/>
    </row>
    <row r="9" spans="1:9" x14ac:dyDescent="0.25">
      <c r="A9" s="4" t="s">
        <v>3</v>
      </c>
      <c r="B9" s="4"/>
      <c r="C9" s="5">
        <f>C$8/SUM($C$8:$E$8)</f>
        <v>0.30434782608695654</v>
      </c>
      <c r="D9" s="5">
        <f t="shared" ref="D9:E9" si="2">D$8/SUM($C$8:$E$8)</f>
        <v>0.46376811594202899</v>
      </c>
      <c r="E9" s="5">
        <f t="shared" si="2"/>
        <v>0.2318840579710145</v>
      </c>
      <c r="F9">
        <v>11.3</v>
      </c>
      <c r="G9" s="5">
        <f>F9/F$12</f>
        <v>0.12349726775956285</v>
      </c>
      <c r="H9">
        <v>33.4</v>
      </c>
      <c r="I9" s="5">
        <f>H9/H$12</f>
        <v>0.48617176128093165</v>
      </c>
    </row>
    <row r="10" spans="1:9" x14ac:dyDescent="0.25">
      <c r="A10" s="4" t="s">
        <v>5</v>
      </c>
      <c r="B10" s="4"/>
      <c r="C10" s="4"/>
      <c r="D10" s="4"/>
      <c r="E10" s="4"/>
      <c r="F10">
        <v>4</v>
      </c>
      <c r="G10" s="5">
        <f>F10/F$12</f>
        <v>4.3715846994535519E-2</v>
      </c>
      <c r="H10">
        <v>1</v>
      </c>
      <c r="I10" s="5">
        <f>H10/H$12</f>
        <v>1.4556040756914121E-2</v>
      </c>
    </row>
    <row r="11" spans="1:9" x14ac:dyDescent="0.25">
      <c r="G11" s="1">
        <f>F11/F$12</f>
        <v>0</v>
      </c>
      <c r="I11" s="1">
        <f>H11/H$12</f>
        <v>0</v>
      </c>
    </row>
    <row r="12" spans="1:9" x14ac:dyDescent="0.25">
      <c r="A12" t="s">
        <v>6</v>
      </c>
      <c r="F12">
        <f>SUM(F3:F11)</f>
        <v>91.5</v>
      </c>
      <c r="G12" s="1">
        <f>F12/F$12</f>
        <v>1</v>
      </c>
      <c r="H12">
        <f>SUM(H3:H11)</f>
        <v>68.699999999999989</v>
      </c>
      <c r="I12" s="1">
        <f>H12/H$12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et Seb</dc:creator>
  <cp:lastModifiedBy>Karen et Seb</cp:lastModifiedBy>
  <dcterms:created xsi:type="dcterms:W3CDTF">2020-01-06T09:40:13Z</dcterms:created>
  <dcterms:modified xsi:type="dcterms:W3CDTF">2020-01-06T10:12:45Z</dcterms:modified>
</cp:coreProperties>
</file>