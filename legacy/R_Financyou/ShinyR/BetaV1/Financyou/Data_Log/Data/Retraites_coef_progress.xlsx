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_Financyou\ShinyR\BetaV1\Financyou\Data_Log\Data\"/>
    </mc:Choice>
  </mc:AlternateContent>
  <xr:revisionPtr revIDLastSave="0" documentId="13_ncr:1_{F788D7A8-6168-414C-A570-7E9CF7A1511E}" xr6:coauthVersionLast="45" xr6:coauthVersionMax="45" xr10:uidLastSave="{00000000-0000-0000-0000-000000000000}"/>
  <bookViews>
    <workbookView xWindow="-120" yWindow="-120" windowWidth="20730" windowHeight="11160" xr2:uid="{22CB53A5-2ACF-4565-B026-A75138C25AE3}"/>
  </bookViews>
  <sheets>
    <sheet name="Coef_progress" sheetId="2" r:id="rId1"/>
    <sheet name="Calcul_coef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3" i="1" l="1"/>
  <c r="S4" i="1" s="1"/>
  <c r="S5" i="1" s="1"/>
  <c r="S6" i="1" s="1"/>
  <c r="S7" i="1" s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R3" i="1"/>
  <c r="R4" i="1" s="1"/>
  <c r="K3" i="1"/>
  <c r="L3" i="1"/>
  <c r="M3" i="1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O3" i="1"/>
  <c r="P3" i="1"/>
  <c r="Q3" i="1"/>
  <c r="K4" i="1"/>
  <c r="K5" i="1" s="1"/>
  <c r="L4" i="1"/>
  <c r="M4" i="1"/>
  <c r="M5" i="1" s="1"/>
  <c r="O4" i="1"/>
  <c r="O5" i="1" s="1"/>
  <c r="P4" i="1"/>
  <c r="Q4" i="1"/>
  <c r="Q5" i="1" s="1"/>
  <c r="L5" i="1"/>
  <c r="P5" i="1"/>
  <c r="E30" i="1"/>
  <c r="F30" i="1"/>
  <c r="G30" i="1"/>
  <c r="H30" i="1"/>
  <c r="I30" i="1"/>
  <c r="J30" i="1"/>
  <c r="D30" i="1"/>
  <c r="J4" i="1"/>
  <c r="J3" i="1"/>
  <c r="E5" i="1"/>
  <c r="E6" i="1"/>
  <c r="E7" i="1"/>
  <c r="E8" i="1"/>
  <c r="E9" i="1"/>
  <c r="E10" i="1"/>
  <c r="E11" i="1"/>
  <c r="E12" i="1"/>
  <c r="E13" i="1"/>
  <c r="E14" i="1"/>
  <c r="F3" i="1"/>
  <c r="G3" i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I3" i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3" i="1"/>
  <c r="E4" i="1" s="1"/>
  <c r="D3" i="1"/>
  <c r="S28" i="1" l="1"/>
  <c r="S29" i="1" s="1"/>
  <c r="S30" i="1" s="1"/>
  <c r="R5" i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K6" i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O6" i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M6" i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Q6" i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N28" i="1"/>
  <c r="N29" i="1" s="1"/>
  <c r="N30" i="1" s="1"/>
  <c r="P6" i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L6" i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I28" i="1"/>
  <c r="I29" i="1" s="1"/>
  <c r="E28" i="1"/>
  <c r="E29" i="1" s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J5" i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H28" i="1"/>
  <c r="H29" i="1" s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R28" i="1" l="1"/>
  <c r="R29" i="1" s="1"/>
  <c r="R30" i="1" s="1"/>
  <c r="M28" i="1"/>
  <c r="M29" i="1" s="1"/>
  <c r="M30" i="1" s="1"/>
  <c r="P28" i="1"/>
  <c r="P29" i="1" s="1"/>
  <c r="P30" i="1" s="1"/>
  <c r="L28" i="1"/>
  <c r="L29" i="1" s="1"/>
  <c r="L30" i="1" s="1"/>
  <c r="O28" i="1"/>
  <c r="O29" i="1" s="1"/>
  <c r="O30" i="1" s="1"/>
  <c r="K28" i="1"/>
  <c r="K29" i="1" s="1"/>
  <c r="K30" i="1" s="1"/>
  <c r="F28" i="1"/>
  <c r="F29" i="1" s="1"/>
  <c r="J28" i="1"/>
  <c r="J29" i="1" s="1"/>
  <c r="D28" i="1"/>
  <c r="D29" i="1" s="1"/>
  <c r="G28" i="1"/>
  <c r="G29" i="1" s="1"/>
</calcChain>
</file>

<file path=xl/sharedStrings.xml><?xml version="1.0" encoding="utf-8"?>
<sst xmlns="http://schemas.openxmlformats.org/spreadsheetml/2006/main" count="8" uniqueCount="7">
  <si>
    <t>Coef</t>
  </si>
  <si>
    <t>Année</t>
  </si>
  <si>
    <t>Evol</t>
  </si>
  <si>
    <t>Base</t>
  </si>
  <si>
    <t>Moy</t>
  </si>
  <si>
    <t>% dernier</t>
  </si>
  <si>
    <t>%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</si>
</sst>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0" applyNumberFormat="1"/>
    <xf numFmtId="164" fontId="0" fillId="0" borderId="0" xfId="1" applyNumberFormat="1" applyFont="1"/>
    <xf numFmtId="2" fontId="0" fillId="0" borderId="0" xfId="0" applyNumberFormat="1"/>
    <xf numFmtId="165" fontId="0" fillId="0" borderId="0" xfId="0" applyNumberForma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9631A-DB87-4390-B7AB-CA4E5A9FF630}">
  <dimension ref="A1:B17"/>
  <sheetViews>
    <sheetView tabSelected="1" workbookViewId="0">
      <selection activeCell="B18" sqref="B18"/>
    </sheetView>
  </sheetViews>
  <sheetFormatPr baseColWidth="10" defaultRowHeight="15" x14ac:dyDescent="0.25"/>
  <cols>
    <col min="1" max="1" width="8.28515625" customWidth="1"/>
    <col min="2" max="2" width="7.85546875" customWidth="1"/>
  </cols>
  <sheetData>
    <row r="1" spans="1:2" x14ac:dyDescent="0.25">
      <c r="A1" t="s">
        <v>2</v>
      </c>
      <c r="B1" t="s">
        <v>0</v>
      </c>
    </row>
    <row r="2" spans="1:2" x14ac:dyDescent="0.25">
      <c r="A2" s="4">
        <v>-0.02</v>
      </c>
      <c r="B2" s="3">
        <v>1.4475217127857902</v>
      </c>
    </row>
    <row r="3" spans="1:2" x14ac:dyDescent="0.25">
      <c r="A3" s="4">
        <v>-1.4999999999999999E-2</v>
      </c>
      <c r="B3" s="3">
        <v>1.1232551818937553</v>
      </c>
    </row>
    <row r="4" spans="1:2" x14ac:dyDescent="0.25">
      <c r="A4" s="4">
        <v>-0.01</v>
      </c>
      <c r="B4" s="3">
        <v>1.2713253647953358</v>
      </c>
    </row>
    <row r="5" spans="1:2" x14ac:dyDescent="0.25">
      <c r="A5" s="4">
        <v>-5.0000000000000001E-3</v>
      </c>
      <c r="B5" s="3">
        <v>1.1943889833039576</v>
      </c>
    </row>
    <row r="6" spans="1:2" x14ac:dyDescent="0.25">
      <c r="A6" s="4">
        <v>0</v>
      </c>
      <c r="B6" s="3">
        <v>1.1239295396175257</v>
      </c>
    </row>
    <row r="7" spans="1:2" x14ac:dyDescent="0.25">
      <c r="A7" s="4">
        <v>5.0000000000000001E-3</v>
      </c>
      <c r="B7" s="3">
        <v>1.0593200553879696</v>
      </c>
    </row>
    <row r="8" spans="1:2" x14ac:dyDescent="0.25">
      <c r="A8" s="4">
        <v>0.01</v>
      </c>
      <c r="B8" s="3">
        <v>1</v>
      </c>
    </row>
    <row r="9" spans="1:2" x14ac:dyDescent="0.25">
      <c r="A9" s="4">
        <v>1.4999999999999999E-2</v>
      </c>
      <c r="B9" s="3">
        <v>0.94546775285464224</v>
      </c>
    </row>
    <row r="10" spans="1:2" x14ac:dyDescent="0.25">
      <c r="A10" s="4">
        <v>0.02</v>
      </c>
      <c r="B10" s="3">
        <v>0.89527396940089465</v>
      </c>
    </row>
    <row r="11" spans="1:2" x14ac:dyDescent="0.25">
      <c r="A11" s="4">
        <v>2.5000000000000001E-2</v>
      </c>
      <c r="B11" s="3">
        <v>0.84901573729978608</v>
      </c>
    </row>
    <row r="12" spans="1:2" x14ac:dyDescent="0.25">
      <c r="A12" s="4">
        <v>0.03</v>
      </c>
      <c r="B12" s="3">
        <v>0.80633142399954327</v>
      </c>
    </row>
    <row r="13" spans="1:2" x14ac:dyDescent="0.25">
      <c r="A13" s="4">
        <v>3.5000000000000003E-2</v>
      </c>
      <c r="B13" s="3">
        <v>0.76689612986737543</v>
      </c>
    </row>
    <row r="14" spans="1:2" x14ac:dyDescent="0.25">
      <c r="A14" s="4">
        <v>0.04</v>
      </c>
      <c r="B14" s="3">
        <v>0.73041767214772602</v>
      </c>
    </row>
    <row r="15" spans="1:2" x14ac:dyDescent="0.25">
      <c r="A15" s="4">
        <v>4.4999999999999998E-2</v>
      </c>
      <c r="B15" s="3">
        <v>0.69663303464363036</v>
      </c>
    </row>
    <row r="16" spans="1:2" x14ac:dyDescent="0.25">
      <c r="A16" s="4">
        <v>0.05</v>
      </c>
      <c r="B16" s="3">
        <v>0.66530522635540346</v>
      </c>
    </row>
    <row r="17" spans="1:2" x14ac:dyDescent="0.25">
      <c r="A17" s="4">
        <v>5.5E-2</v>
      </c>
      <c r="B17" s="3">
        <v>0.63622049953856141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80ECB-79DF-47CF-91C0-9B031EB929A6}">
  <dimension ref="A1:S30"/>
  <sheetViews>
    <sheetView workbookViewId="0">
      <selection activeCell="D7" sqref="D7"/>
    </sheetView>
  </sheetViews>
  <sheetFormatPr baseColWidth="10" defaultRowHeight="15" x14ac:dyDescent="0.25"/>
  <sheetData>
    <row r="1" spans="1:19" x14ac:dyDescent="0.25">
      <c r="A1" t="s">
        <v>3</v>
      </c>
      <c r="B1">
        <v>100</v>
      </c>
    </row>
    <row r="2" spans="1:19" x14ac:dyDescent="0.25">
      <c r="B2" s="1"/>
      <c r="C2" s="1" t="s">
        <v>2</v>
      </c>
      <c r="D2" s="4">
        <v>-0.02</v>
      </c>
      <c r="E2" s="4">
        <v>-1.4999999999999999E-2</v>
      </c>
      <c r="F2" s="4">
        <v>-0.01</v>
      </c>
      <c r="G2" s="4">
        <v>-5.0000000000000001E-3</v>
      </c>
      <c r="H2" s="4">
        <v>0</v>
      </c>
      <c r="I2" s="4">
        <v>5.0000000000000001E-3</v>
      </c>
      <c r="J2" s="4">
        <v>0.01</v>
      </c>
      <c r="K2" s="4">
        <v>1.4999999999999999E-2</v>
      </c>
      <c r="L2" s="4">
        <v>0.02</v>
      </c>
      <c r="M2" s="4">
        <v>2.5000000000000001E-2</v>
      </c>
      <c r="N2" s="4">
        <v>0.03</v>
      </c>
      <c r="O2" s="4">
        <v>3.5000000000000003E-2</v>
      </c>
      <c r="P2" s="4">
        <v>0.04</v>
      </c>
      <c r="Q2" s="4">
        <v>4.4999999999999998E-2</v>
      </c>
      <c r="R2" s="4">
        <v>0.05</v>
      </c>
      <c r="S2" s="4">
        <v>5.5E-2</v>
      </c>
    </row>
    <row r="3" spans="1:19" x14ac:dyDescent="0.25">
      <c r="B3" s="1" t="s">
        <v>1</v>
      </c>
      <c r="C3" s="2">
        <v>1</v>
      </c>
      <c r="D3" s="3">
        <f>$B$1*(1+D$2)</f>
        <v>98</v>
      </c>
      <c r="E3" s="3">
        <f>$B$1*(1+E$2)</f>
        <v>98.5</v>
      </c>
      <c r="F3" s="3">
        <f t="shared" ref="F3:I3" si="0">$B$1*(1+F$2)</f>
        <v>99</v>
      </c>
      <c r="G3" s="3">
        <f t="shared" si="0"/>
        <v>99.5</v>
      </c>
      <c r="H3" s="3">
        <f t="shared" si="0"/>
        <v>100</v>
      </c>
      <c r="I3" s="3">
        <f t="shared" si="0"/>
        <v>100.49999999999999</v>
      </c>
      <c r="J3" s="3">
        <f>$B$1*(1+J$2)</f>
        <v>101</v>
      </c>
      <c r="K3" s="3">
        <f t="shared" ref="K3:Q3" si="1">$B$1*(1+K$2)</f>
        <v>101.49999999999999</v>
      </c>
      <c r="L3" s="3">
        <f t="shared" si="1"/>
        <v>102</v>
      </c>
      <c r="M3" s="3">
        <f t="shared" si="1"/>
        <v>102.49999999999999</v>
      </c>
      <c r="N3" s="3">
        <f t="shared" si="1"/>
        <v>103</v>
      </c>
      <c r="O3" s="3">
        <f t="shared" si="1"/>
        <v>103.49999999999999</v>
      </c>
      <c r="P3" s="3">
        <f t="shared" si="1"/>
        <v>104</v>
      </c>
      <c r="Q3" s="3">
        <f t="shared" si="1"/>
        <v>104.5</v>
      </c>
      <c r="R3" s="3">
        <f>$B$1*(1+R$2)</f>
        <v>105</v>
      </c>
      <c r="S3" s="3">
        <f>$B$1*(1+S$2)</f>
        <v>105.5</v>
      </c>
    </row>
    <row r="4" spans="1:19" x14ac:dyDescent="0.25">
      <c r="B4" s="1"/>
      <c r="C4" s="2">
        <v>2</v>
      </c>
      <c r="D4" s="3">
        <f>D3*(1+D$2)</f>
        <v>96.039999999999992</v>
      </c>
      <c r="E4" s="3">
        <f t="shared" ref="E4:J4" si="2">E3*(1+E$2)</f>
        <v>97.022499999999994</v>
      </c>
      <c r="F4" s="3">
        <f t="shared" si="2"/>
        <v>98.01</v>
      </c>
      <c r="G4" s="3">
        <f t="shared" si="2"/>
        <v>99.002499999999998</v>
      </c>
      <c r="H4" s="3">
        <f t="shared" si="2"/>
        <v>100</v>
      </c>
      <c r="I4" s="3">
        <f t="shared" si="2"/>
        <v>101.00249999999997</v>
      </c>
      <c r="J4" s="3">
        <f t="shared" si="2"/>
        <v>102.01</v>
      </c>
      <c r="K4" s="3">
        <f t="shared" ref="K4:K27" si="3">K3*(1+K$2)</f>
        <v>103.02249999999998</v>
      </c>
      <c r="L4" s="3">
        <f t="shared" ref="L4:L27" si="4">L3*(1+L$2)</f>
        <v>104.04</v>
      </c>
      <c r="M4" s="3">
        <f t="shared" ref="M4:M27" si="5">M3*(1+M$2)</f>
        <v>105.06249999999997</v>
      </c>
      <c r="N4" s="3">
        <f t="shared" ref="N4:N27" si="6">N3*(1+N$2)</f>
        <v>106.09</v>
      </c>
      <c r="O4" s="3">
        <f t="shared" ref="O4:O27" si="7">O3*(1+O$2)</f>
        <v>107.12249999999997</v>
      </c>
      <c r="P4" s="3">
        <f t="shared" ref="P4:P27" si="8">P3*(1+P$2)</f>
        <v>108.16</v>
      </c>
      <c r="Q4" s="3">
        <f t="shared" ref="Q4:S27" si="9">Q3*(1+Q$2)</f>
        <v>109.20249999999999</v>
      </c>
      <c r="R4" s="3">
        <f t="shared" si="9"/>
        <v>110.25</v>
      </c>
      <c r="S4" s="3">
        <f t="shared" si="9"/>
        <v>111.30249999999999</v>
      </c>
    </row>
    <row r="5" spans="1:19" x14ac:dyDescent="0.25">
      <c r="B5" s="1"/>
      <c r="C5" s="2">
        <v>3</v>
      </c>
      <c r="D5" s="3">
        <f t="shared" ref="D5:D27" si="10">D4*(1+D$2)</f>
        <v>94.119199999999992</v>
      </c>
      <c r="E5" s="3">
        <f t="shared" ref="E5:E14" si="11">$B$1*(1+E$2)</f>
        <v>98.5</v>
      </c>
      <c r="F5" s="3">
        <f t="shared" ref="F5:F16" si="12">F4*(1+F$2)</f>
        <v>97.029899999999998</v>
      </c>
      <c r="G5" s="3">
        <f t="shared" ref="G5:G16" si="13">G4*(1+G$2)</f>
        <v>98.507487499999996</v>
      </c>
      <c r="H5" s="3">
        <f t="shared" ref="H5:H16" si="14">H4*(1+H$2)</f>
        <v>100</v>
      </c>
      <c r="I5" s="3">
        <f t="shared" ref="I5:I16" si="15">I4*(1+I$2)</f>
        <v>101.50751249999996</v>
      </c>
      <c r="J5" s="3">
        <f t="shared" ref="J5:J16" si="16">J4*(1+J$2)</f>
        <v>103.0301</v>
      </c>
      <c r="K5" s="3">
        <f t="shared" si="3"/>
        <v>104.56783749999997</v>
      </c>
      <c r="L5" s="3">
        <f t="shared" si="4"/>
        <v>106.1208</v>
      </c>
      <c r="M5" s="3">
        <f t="shared" si="5"/>
        <v>107.68906249999996</v>
      </c>
      <c r="N5" s="3">
        <f t="shared" si="6"/>
        <v>109.2727</v>
      </c>
      <c r="O5" s="3">
        <f t="shared" si="7"/>
        <v>110.87178749999997</v>
      </c>
      <c r="P5" s="3">
        <f t="shared" si="8"/>
        <v>112.4864</v>
      </c>
      <c r="Q5" s="3">
        <f t="shared" si="9"/>
        <v>114.11661249999997</v>
      </c>
      <c r="R5" s="3">
        <f t="shared" si="9"/>
        <v>115.7625</v>
      </c>
      <c r="S5" s="3">
        <f t="shared" si="9"/>
        <v>117.42413749999999</v>
      </c>
    </row>
    <row r="6" spans="1:19" x14ac:dyDescent="0.25">
      <c r="B6" s="1"/>
      <c r="C6" s="2">
        <v>4</v>
      </c>
      <c r="D6" s="3">
        <f t="shared" si="10"/>
        <v>92.23681599999999</v>
      </c>
      <c r="E6" s="3">
        <f t="shared" si="11"/>
        <v>98.5</v>
      </c>
      <c r="F6" s="3">
        <f t="shared" si="12"/>
        <v>96.059601000000001</v>
      </c>
      <c r="G6" s="3">
        <f t="shared" si="13"/>
        <v>98.014950062499992</v>
      </c>
      <c r="H6" s="3">
        <f t="shared" si="14"/>
        <v>100</v>
      </c>
      <c r="I6" s="3">
        <f t="shared" si="15"/>
        <v>102.01505006249995</v>
      </c>
      <c r="J6" s="3">
        <f t="shared" si="16"/>
        <v>104.060401</v>
      </c>
      <c r="K6" s="3">
        <f t="shared" si="3"/>
        <v>106.13635506249996</v>
      </c>
      <c r="L6" s="3">
        <f t="shared" si="4"/>
        <v>108.243216</v>
      </c>
      <c r="M6" s="3">
        <f t="shared" si="5"/>
        <v>110.38128906249996</v>
      </c>
      <c r="N6" s="3">
        <f t="shared" si="6"/>
        <v>112.550881</v>
      </c>
      <c r="O6" s="3">
        <f t="shared" si="7"/>
        <v>114.75230006249996</v>
      </c>
      <c r="P6" s="3">
        <f t="shared" si="8"/>
        <v>116.98585600000001</v>
      </c>
      <c r="Q6" s="3">
        <f t="shared" si="9"/>
        <v>119.25186006249996</v>
      </c>
      <c r="R6" s="3">
        <f t="shared" si="9"/>
        <v>121.55062500000001</v>
      </c>
      <c r="S6" s="3">
        <f t="shared" si="9"/>
        <v>123.88246506249997</v>
      </c>
    </row>
    <row r="7" spans="1:19" x14ac:dyDescent="0.25">
      <c r="B7" s="1"/>
      <c r="C7" s="2">
        <v>5</v>
      </c>
      <c r="D7" s="3">
        <f t="shared" si="10"/>
        <v>90.392079679999995</v>
      </c>
      <c r="E7" s="3">
        <f t="shared" si="11"/>
        <v>98.5</v>
      </c>
      <c r="F7" s="3">
        <f t="shared" si="12"/>
        <v>95.099004989999997</v>
      </c>
      <c r="G7" s="3">
        <f t="shared" si="13"/>
        <v>97.52487531218749</v>
      </c>
      <c r="H7" s="3">
        <f t="shared" si="14"/>
        <v>100</v>
      </c>
      <c r="I7" s="3">
        <f t="shared" si="15"/>
        <v>102.52512531281243</v>
      </c>
      <c r="J7" s="3">
        <f t="shared" si="16"/>
        <v>105.10100500999999</v>
      </c>
      <c r="K7" s="3">
        <f t="shared" si="3"/>
        <v>107.72840038843745</v>
      </c>
      <c r="L7" s="3">
        <f t="shared" si="4"/>
        <v>110.40808032000001</v>
      </c>
      <c r="M7" s="3">
        <f t="shared" si="5"/>
        <v>113.14082128906244</v>
      </c>
      <c r="N7" s="3">
        <f t="shared" si="6"/>
        <v>115.92740743</v>
      </c>
      <c r="O7" s="3">
        <f t="shared" si="7"/>
        <v>118.76863056468744</v>
      </c>
      <c r="P7" s="3">
        <f t="shared" si="8"/>
        <v>121.66529024000002</v>
      </c>
      <c r="Q7" s="3">
        <f t="shared" si="9"/>
        <v>124.61819376531244</v>
      </c>
      <c r="R7" s="3">
        <f t="shared" si="9"/>
        <v>127.62815625000002</v>
      </c>
      <c r="S7" s="3">
        <f t="shared" si="9"/>
        <v>130.69600064093746</v>
      </c>
    </row>
    <row r="8" spans="1:19" x14ac:dyDescent="0.25">
      <c r="B8" s="1"/>
      <c r="C8" s="2">
        <v>6</v>
      </c>
      <c r="D8" s="3">
        <f t="shared" si="10"/>
        <v>88.584238086399992</v>
      </c>
      <c r="E8" s="3">
        <f t="shared" si="11"/>
        <v>98.5</v>
      </c>
      <c r="F8" s="3">
        <f t="shared" si="12"/>
        <v>94.148014940099998</v>
      </c>
      <c r="G8" s="3">
        <f t="shared" si="13"/>
        <v>97.037250935626545</v>
      </c>
      <c r="H8" s="3">
        <f t="shared" si="14"/>
        <v>100</v>
      </c>
      <c r="I8" s="3">
        <f t="shared" si="15"/>
        <v>103.03775093937648</v>
      </c>
      <c r="J8" s="3">
        <f t="shared" si="16"/>
        <v>106.1520150601</v>
      </c>
      <c r="K8" s="3">
        <f t="shared" si="3"/>
        <v>109.344326394264</v>
      </c>
      <c r="L8" s="3">
        <f t="shared" si="4"/>
        <v>112.61624192640001</v>
      </c>
      <c r="M8" s="3">
        <f t="shared" si="5"/>
        <v>115.96934182128899</v>
      </c>
      <c r="N8" s="3">
        <f t="shared" si="6"/>
        <v>119.4052296529</v>
      </c>
      <c r="O8" s="3">
        <f t="shared" si="7"/>
        <v>122.92553263445149</v>
      </c>
      <c r="P8" s="3">
        <f t="shared" si="8"/>
        <v>126.53190184960002</v>
      </c>
      <c r="Q8" s="3">
        <f t="shared" si="9"/>
        <v>130.22601248475149</v>
      </c>
      <c r="R8" s="3">
        <f t="shared" si="9"/>
        <v>134.00956406250003</v>
      </c>
      <c r="S8" s="3">
        <f t="shared" si="9"/>
        <v>137.88428067618901</v>
      </c>
    </row>
    <row r="9" spans="1:19" x14ac:dyDescent="0.25">
      <c r="C9" s="2">
        <v>7</v>
      </c>
      <c r="D9" s="3">
        <f t="shared" si="10"/>
        <v>86.812553324671995</v>
      </c>
      <c r="E9" s="3">
        <f t="shared" si="11"/>
        <v>98.5</v>
      </c>
      <c r="F9" s="3">
        <f t="shared" si="12"/>
        <v>93.206534790698996</v>
      </c>
      <c r="G9" s="3">
        <f t="shared" si="13"/>
        <v>96.552064680948419</v>
      </c>
      <c r="H9" s="3">
        <f t="shared" si="14"/>
        <v>100</v>
      </c>
      <c r="I9" s="3">
        <f t="shared" si="15"/>
        <v>103.55293969407334</v>
      </c>
      <c r="J9" s="3">
        <f t="shared" si="16"/>
        <v>107.213535210701</v>
      </c>
      <c r="K9" s="3">
        <f t="shared" si="3"/>
        <v>110.98449129017796</v>
      </c>
      <c r="L9" s="3">
        <f t="shared" si="4"/>
        <v>114.868566764928</v>
      </c>
      <c r="M9" s="3">
        <f t="shared" si="5"/>
        <v>118.8685753668212</v>
      </c>
      <c r="N9" s="3">
        <f t="shared" si="6"/>
        <v>122.987386542487</v>
      </c>
      <c r="O9" s="3">
        <f t="shared" si="7"/>
        <v>127.22792627665727</v>
      </c>
      <c r="P9" s="3">
        <f t="shared" si="8"/>
        <v>131.59317792358402</v>
      </c>
      <c r="Q9" s="3">
        <f t="shared" si="9"/>
        <v>136.08618304656531</v>
      </c>
      <c r="R9" s="3">
        <f t="shared" si="9"/>
        <v>140.71004226562505</v>
      </c>
      <c r="S9" s="3">
        <f t="shared" si="9"/>
        <v>145.4679161133794</v>
      </c>
    </row>
    <row r="10" spans="1:19" x14ac:dyDescent="0.25">
      <c r="C10" s="2">
        <v>8</v>
      </c>
      <c r="D10" s="3">
        <f t="shared" si="10"/>
        <v>85.076302258178558</v>
      </c>
      <c r="E10" s="3">
        <f t="shared" si="11"/>
        <v>98.5</v>
      </c>
      <c r="F10" s="3">
        <f t="shared" si="12"/>
        <v>92.274469442792011</v>
      </c>
      <c r="G10" s="3">
        <f t="shared" si="13"/>
        <v>96.069304357543672</v>
      </c>
      <c r="H10" s="3">
        <f t="shared" si="14"/>
        <v>100</v>
      </c>
      <c r="I10" s="3">
        <f t="shared" si="15"/>
        <v>104.0707043925437</v>
      </c>
      <c r="J10" s="3">
        <f t="shared" si="16"/>
        <v>108.28567056280801</v>
      </c>
      <c r="K10" s="3">
        <f t="shared" si="3"/>
        <v>112.64925865953062</v>
      </c>
      <c r="L10" s="3">
        <f t="shared" si="4"/>
        <v>117.16593810022657</v>
      </c>
      <c r="M10" s="3">
        <f t="shared" si="5"/>
        <v>121.84028975099173</v>
      </c>
      <c r="N10" s="3">
        <f t="shared" si="6"/>
        <v>126.67700813876162</v>
      </c>
      <c r="O10" s="3">
        <f t="shared" si="7"/>
        <v>131.68090369634027</v>
      </c>
      <c r="P10" s="3">
        <f t="shared" si="8"/>
        <v>136.85690504052738</v>
      </c>
      <c r="Q10" s="3">
        <f t="shared" si="9"/>
        <v>142.21006128366074</v>
      </c>
      <c r="R10" s="3">
        <f t="shared" si="9"/>
        <v>147.74554437890632</v>
      </c>
      <c r="S10" s="3">
        <f t="shared" si="9"/>
        <v>153.46865149961525</v>
      </c>
    </row>
    <row r="11" spans="1:19" x14ac:dyDescent="0.25">
      <c r="C11" s="2">
        <v>9</v>
      </c>
      <c r="D11" s="3">
        <f t="shared" si="10"/>
        <v>83.374776213014982</v>
      </c>
      <c r="E11" s="3">
        <f t="shared" si="11"/>
        <v>98.5</v>
      </c>
      <c r="F11" s="3">
        <f t="shared" si="12"/>
        <v>91.351724748364092</v>
      </c>
      <c r="G11" s="3">
        <f t="shared" si="13"/>
        <v>95.588957835755949</v>
      </c>
      <c r="H11" s="3">
        <f t="shared" si="14"/>
        <v>100</v>
      </c>
      <c r="I11" s="3">
        <f t="shared" si="15"/>
        <v>104.59105791450641</v>
      </c>
      <c r="J11" s="3">
        <f t="shared" si="16"/>
        <v>109.36852726843608</v>
      </c>
      <c r="K11" s="3">
        <f t="shared" si="3"/>
        <v>114.33899753942356</v>
      </c>
      <c r="L11" s="3">
        <f t="shared" si="4"/>
        <v>119.5092568622311</v>
      </c>
      <c r="M11" s="3">
        <f t="shared" si="5"/>
        <v>124.88629699476651</v>
      </c>
      <c r="N11" s="3">
        <f t="shared" si="6"/>
        <v>130.47731838292447</v>
      </c>
      <c r="O11" s="3">
        <f t="shared" si="7"/>
        <v>136.28973532571217</v>
      </c>
      <c r="P11" s="3">
        <f t="shared" si="8"/>
        <v>142.33118124214849</v>
      </c>
      <c r="Q11" s="3">
        <f t="shared" si="9"/>
        <v>148.60951404142546</v>
      </c>
      <c r="R11" s="3">
        <f t="shared" si="9"/>
        <v>155.13282159785163</v>
      </c>
      <c r="S11" s="3">
        <f t="shared" si="9"/>
        <v>161.90942733209408</v>
      </c>
    </row>
    <row r="12" spans="1:19" x14ac:dyDescent="0.25">
      <c r="C12" s="2">
        <v>10</v>
      </c>
      <c r="D12" s="3">
        <f t="shared" si="10"/>
        <v>81.707280688754679</v>
      </c>
      <c r="E12" s="3">
        <f t="shared" si="11"/>
        <v>98.5</v>
      </c>
      <c r="F12" s="3">
        <f t="shared" si="12"/>
        <v>90.438207500880452</v>
      </c>
      <c r="G12" s="3">
        <f t="shared" si="13"/>
        <v>95.11101304657717</v>
      </c>
      <c r="H12" s="3">
        <f t="shared" si="14"/>
        <v>100</v>
      </c>
      <c r="I12" s="3">
        <f t="shared" si="15"/>
        <v>105.11401320407893</v>
      </c>
      <c r="J12" s="3">
        <f t="shared" si="16"/>
        <v>110.46221254112045</v>
      </c>
      <c r="K12" s="3">
        <f t="shared" si="3"/>
        <v>116.0540825025149</v>
      </c>
      <c r="L12" s="3">
        <f t="shared" si="4"/>
        <v>121.89944199947573</v>
      </c>
      <c r="M12" s="3">
        <f t="shared" si="5"/>
        <v>128.00845441963565</v>
      </c>
      <c r="N12" s="3">
        <f t="shared" si="6"/>
        <v>134.39163793441222</v>
      </c>
      <c r="O12" s="3">
        <f t="shared" si="7"/>
        <v>141.0598760621121</v>
      </c>
      <c r="P12" s="3">
        <f t="shared" si="8"/>
        <v>148.02442849183444</v>
      </c>
      <c r="Q12" s="3">
        <f t="shared" si="9"/>
        <v>155.29694217328958</v>
      </c>
      <c r="R12" s="3">
        <f t="shared" si="9"/>
        <v>162.88946267774421</v>
      </c>
      <c r="S12" s="3">
        <f t="shared" si="9"/>
        <v>170.81444583535924</v>
      </c>
    </row>
    <row r="13" spans="1:19" x14ac:dyDescent="0.25">
      <c r="C13" s="2">
        <v>11</v>
      </c>
      <c r="D13" s="3">
        <f t="shared" si="10"/>
        <v>80.073135074979589</v>
      </c>
      <c r="E13" s="3">
        <f t="shared" si="11"/>
        <v>98.5</v>
      </c>
      <c r="F13" s="3">
        <f t="shared" si="12"/>
        <v>89.53382542587164</v>
      </c>
      <c r="G13" s="3">
        <f t="shared" si="13"/>
        <v>94.635457981344288</v>
      </c>
      <c r="H13" s="3">
        <f t="shared" si="14"/>
        <v>100</v>
      </c>
      <c r="I13" s="3">
        <f t="shared" si="15"/>
        <v>105.63958327009931</v>
      </c>
      <c r="J13" s="3">
        <f t="shared" si="16"/>
        <v>111.56683466653166</v>
      </c>
      <c r="K13" s="3">
        <f t="shared" si="3"/>
        <v>117.79489374005261</v>
      </c>
      <c r="L13" s="3">
        <f t="shared" si="4"/>
        <v>124.33743083946524</v>
      </c>
      <c r="M13" s="3">
        <f t="shared" si="5"/>
        <v>131.20866578012652</v>
      </c>
      <c r="N13" s="3">
        <f t="shared" si="6"/>
        <v>138.4233870724446</v>
      </c>
      <c r="O13" s="3">
        <f t="shared" si="7"/>
        <v>145.996971724286</v>
      </c>
      <c r="P13" s="3">
        <f t="shared" si="8"/>
        <v>153.94540563150784</v>
      </c>
      <c r="Q13" s="3">
        <f t="shared" si="9"/>
        <v>162.28530457108761</v>
      </c>
      <c r="R13" s="3">
        <f t="shared" si="9"/>
        <v>171.03393581163144</v>
      </c>
      <c r="S13" s="3">
        <f t="shared" si="9"/>
        <v>180.20924035630398</v>
      </c>
    </row>
    <row r="14" spans="1:19" x14ac:dyDescent="0.25">
      <c r="C14" s="2">
        <v>12</v>
      </c>
      <c r="D14" s="3">
        <f t="shared" si="10"/>
        <v>78.47167237347999</v>
      </c>
      <c r="E14" s="3">
        <f t="shared" si="11"/>
        <v>98.5</v>
      </c>
      <c r="F14" s="3">
        <f t="shared" si="12"/>
        <v>88.638487171612923</v>
      </c>
      <c r="G14" s="3">
        <f t="shared" si="13"/>
        <v>94.162280691437573</v>
      </c>
      <c r="H14" s="3">
        <f t="shared" si="14"/>
        <v>100</v>
      </c>
      <c r="I14" s="3">
        <f t="shared" si="15"/>
        <v>106.16778118644979</v>
      </c>
      <c r="J14" s="3">
        <f t="shared" si="16"/>
        <v>112.68250301319698</v>
      </c>
      <c r="K14" s="3">
        <f t="shared" si="3"/>
        <v>119.56181714615339</v>
      </c>
      <c r="L14" s="3">
        <f t="shared" si="4"/>
        <v>126.82417945625456</v>
      </c>
      <c r="M14" s="3">
        <f t="shared" si="5"/>
        <v>134.48888242462968</v>
      </c>
      <c r="N14" s="3">
        <f t="shared" si="6"/>
        <v>142.57608868461793</v>
      </c>
      <c r="O14" s="3">
        <f t="shared" si="7"/>
        <v>151.10686573463599</v>
      </c>
      <c r="P14" s="3">
        <f t="shared" si="8"/>
        <v>160.10322185676816</v>
      </c>
      <c r="Q14" s="3">
        <f t="shared" si="9"/>
        <v>169.58814327678652</v>
      </c>
      <c r="R14" s="3">
        <f t="shared" si="9"/>
        <v>179.58563260221302</v>
      </c>
      <c r="S14" s="3">
        <f t="shared" si="9"/>
        <v>190.12074857590068</v>
      </c>
    </row>
    <row r="15" spans="1:19" x14ac:dyDescent="0.25">
      <c r="C15" s="2">
        <v>13</v>
      </c>
      <c r="D15" s="3">
        <f t="shared" si="10"/>
        <v>76.902238926010384</v>
      </c>
      <c r="E15" s="3">
        <f t="shared" ref="E15:E27" si="17">$B$1*(1+E$2)</f>
        <v>98.5</v>
      </c>
      <c r="F15" s="3">
        <f t="shared" si="12"/>
        <v>87.752102299896791</v>
      </c>
      <c r="G15" s="3">
        <f t="shared" si="13"/>
        <v>93.691469287980382</v>
      </c>
      <c r="H15" s="3">
        <f t="shared" si="14"/>
        <v>100</v>
      </c>
      <c r="I15" s="3">
        <f t="shared" si="15"/>
        <v>106.69862009238203</v>
      </c>
      <c r="J15" s="3">
        <f t="shared" si="16"/>
        <v>113.80932804332895</v>
      </c>
      <c r="K15" s="3">
        <f t="shared" si="3"/>
        <v>121.35524440334568</v>
      </c>
      <c r="L15" s="3">
        <f t="shared" si="4"/>
        <v>129.36066304537965</v>
      </c>
      <c r="M15" s="3">
        <f t="shared" si="5"/>
        <v>137.8511044852454</v>
      </c>
      <c r="N15" s="3">
        <f t="shared" si="6"/>
        <v>146.85337134515646</v>
      </c>
      <c r="O15" s="3">
        <f t="shared" si="7"/>
        <v>156.39560603534824</v>
      </c>
      <c r="P15" s="3">
        <f t="shared" si="8"/>
        <v>166.50735073103888</v>
      </c>
      <c r="Q15" s="3">
        <f t="shared" si="9"/>
        <v>177.21960972424191</v>
      </c>
      <c r="R15" s="3">
        <f t="shared" si="9"/>
        <v>188.56491423232367</v>
      </c>
      <c r="S15" s="3">
        <f t="shared" si="9"/>
        <v>200.57738974757521</v>
      </c>
    </row>
    <row r="16" spans="1:19" x14ac:dyDescent="0.25">
      <c r="C16" s="2">
        <v>14</v>
      </c>
      <c r="D16" s="3">
        <f t="shared" si="10"/>
        <v>75.364194147490181</v>
      </c>
      <c r="E16" s="3">
        <f t="shared" si="17"/>
        <v>98.5</v>
      </c>
      <c r="F16" s="3">
        <f t="shared" si="12"/>
        <v>86.874581276897828</v>
      </c>
      <c r="G16" s="3">
        <f t="shared" si="13"/>
        <v>93.223011941540477</v>
      </c>
      <c r="H16" s="3">
        <f t="shared" si="14"/>
        <v>100</v>
      </c>
      <c r="I16" s="3">
        <f t="shared" si="15"/>
        <v>107.23211319284393</v>
      </c>
      <c r="J16" s="3">
        <f t="shared" si="16"/>
        <v>114.94742132376224</v>
      </c>
      <c r="K16" s="3">
        <f t="shared" si="3"/>
        <v>123.17557306939585</v>
      </c>
      <c r="L16" s="3">
        <f t="shared" si="4"/>
        <v>131.94787630628724</v>
      </c>
      <c r="M16" s="3">
        <f t="shared" si="5"/>
        <v>141.29738209737653</v>
      </c>
      <c r="N16" s="3">
        <f t="shared" si="6"/>
        <v>151.25897248551115</v>
      </c>
      <c r="O16" s="3">
        <f t="shared" si="7"/>
        <v>161.86945224658541</v>
      </c>
      <c r="P16" s="3">
        <f t="shared" si="8"/>
        <v>173.16764476028044</v>
      </c>
      <c r="Q16" s="3">
        <f t="shared" si="9"/>
        <v>185.19449216183278</v>
      </c>
      <c r="R16" s="3">
        <f t="shared" si="9"/>
        <v>197.99315994393987</v>
      </c>
      <c r="S16" s="3">
        <f t="shared" si="9"/>
        <v>211.60914618369185</v>
      </c>
    </row>
    <row r="17" spans="3:19" x14ac:dyDescent="0.25">
      <c r="C17" s="2">
        <v>15</v>
      </c>
      <c r="D17" s="3">
        <f t="shared" si="10"/>
        <v>73.856910264540375</v>
      </c>
      <c r="E17" s="3">
        <f t="shared" si="17"/>
        <v>98.5</v>
      </c>
      <c r="F17" s="3">
        <f t="shared" ref="F17:F27" si="18">F16*(1+F$2)</f>
        <v>86.00583546412885</v>
      </c>
      <c r="G17" s="3">
        <f t="shared" ref="G17:G27" si="19">G16*(1+G$2)</f>
        <v>92.756896881832773</v>
      </c>
      <c r="H17" s="3">
        <f t="shared" ref="H17:H27" si="20">H16*(1+H$2)</f>
        <v>100</v>
      </c>
      <c r="I17" s="3">
        <f t="shared" ref="I17:I27" si="21">I16*(1+I$2)</f>
        <v>107.76827375880814</v>
      </c>
      <c r="J17" s="3">
        <f t="shared" ref="J17:J27" si="22">J16*(1+J$2)</f>
        <v>116.09689553699987</v>
      </c>
      <c r="K17" s="3">
        <f t="shared" si="3"/>
        <v>125.02320666543677</v>
      </c>
      <c r="L17" s="3">
        <f t="shared" si="4"/>
        <v>134.58683383241299</v>
      </c>
      <c r="M17" s="3">
        <f t="shared" si="5"/>
        <v>144.82981664981094</v>
      </c>
      <c r="N17" s="3">
        <f t="shared" si="6"/>
        <v>155.79674166007649</v>
      </c>
      <c r="O17" s="3">
        <f t="shared" si="7"/>
        <v>167.53488307521587</v>
      </c>
      <c r="P17" s="3">
        <f t="shared" si="8"/>
        <v>180.09435055069167</v>
      </c>
      <c r="Q17" s="3">
        <f t="shared" si="9"/>
        <v>193.52824430911525</v>
      </c>
      <c r="R17" s="3">
        <f t="shared" si="9"/>
        <v>207.89281794113688</v>
      </c>
      <c r="S17" s="3">
        <f t="shared" si="9"/>
        <v>223.24764922379489</v>
      </c>
    </row>
    <row r="18" spans="3:19" x14ac:dyDescent="0.25">
      <c r="C18" s="2">
        <v>16</v>
      </c>
      <c r="D18" s="3">
        <f t="shared" si="10"/>
        <v>72.379772059249561</v>
      </c>
      <c r="E18" s="3">
        <f t="shared" si="17"/>
        <v>98.5</v>
      </c>
      <c r="F18" s="3">
        <f t="shared" si="18"/>
        <v>85.145777109487554</v>
      </c>
      <c r="G18" s="3">
        <f t="shared" si="19"/>
        <v>92.293112397423613</v>
      </c>
      <c r="H18" s="3">
        <f t="shared" si="20"/>
        <v>100</v>
      </c>
      <c r="I18" s="3">
        <f t="shared" si="21"/>
        <v>108.30711512760216</v>
      </c>
      <c r="J18" s="3">
        <f t="shared" si="22"/>
        <v>117.25786449236986</v>
      </c>
      <c r="K18" s="3">
        <f t="shared" si="3"/>
        <v>126.89855476541831</v>
      </c>
      <c r="L18" s="3">
        <f t="shared" si="4"/>
        <v>137.27857050906127</v>
      </c>
      <c r="M18" s="3">
        <f t="shared" si="5"/>
        <v>148.45056206605619</v>
      </c>
      <c r="N18" s="3">
        <f t="shared" si="6"/>
        <v>160.47064390987879</v>
      </c>
      <c r="O18" s="3">
        <f t="shared" si="7"/>
        <v>173.39860398284841</v>
      </c>
      <c r="P18" s="3">
        <f t="shared" si="8"/>
        <v>187.29812457271936</v>
      </c>
      <c r="Q18" s="3">
        <f t="shared" si="9"/>
        <v>202.23701530302543</v>
      </c>
      <c r="R18" s="3">
        <f t="shared" si="9"/>
        <v>218.28745883819374</v>
      </c>
      <c r="S18" s="3">
        <f t="shared" si="9"/>
        <v>235.5262699311036</v>
      </c>
    </row>
    <row r="19" spans="3:19" x14ac:dyDescent="0.25">
      <c r="C19" s="2">
        <v>17</v>
      </c>
      <c r="D19" s="3">
        <f t="shared" si="10"/>
        <v>70.932176618064574</v>
      </c>
      <c r="E19" s="3">
        <f t="shared" si="17"/>
        <v>98.5</v>
      </c>
      <c r="F19" s="3">
        <f t="shared" si="18"/>
        <v>84.294319338392683</v>
      </c>
      <c r="G19" s="3">
        <f t="shared" si="19"/>
        <v>91.831646835436501</v>
      </c>
      <c r="H19" s="3">
        <f t="shared" si="20"/>
        <v>100</v>
      </c>
      <c r="I19" s="3">
        <f t="shared" si="21"/>
        <v>108.84865070324015</v>
      </c>
      <c r="J19" s="3">
        <f t="shared" si="22"/>
        <v>118.43044313729357</v>
      </c>
      <c r="K19" s="3">
        <f t="shared" si="3"/>
        <v>128.80203308689957</v>
      </c>
      <c r="L19" s="3">
        <f t="shared" si="4"/>
        <v>140.02414191924251</v>
      </c>
      <c r="M19" s="3">
        <f t="shared" si="5"/>
        <v>152.16182611770759</v>
      </c>
      <c r="N19" s="3">
        <f t="shared" si="6"/>
        <v>165.28476322717515</v>
      </c>
      <c r="O19" s="3">
        <f t="shared" si="7"/>
        <v>179.46755512224809</v>
      </c>
      <c r="P19" s="3">
        <f t="shared" si="8"/>
        <v>194.79004955562814</v>
      </c>
      <c r="Q19" s="3">
        <f t="shared" si="9"/>
        <v>211.33768099166156</v>
      </c>
      <c r="R19" s="3">
        <f t="shared" si="9"/>
        <v>229.20183178010345</v>
      </c>
      <c r="S19" s="3">
        <f t="shared" si="9"/>
        <v>248.48021477731427</v>
      </c>
    </row>
    <row r="20" spans="3:19" x14ac:dyDescent="0.25">
      <c r="C20" s="2">
        <v>18</v>
      </c>
      <c r="D20" s="3">
        <f t="shared" si="10"/>
        <v>69.513533085703287</v>
      </c>
      <c r="E20" s="3">
        <f t="shared" si="17"/>
        <v>98.5</v>
      </c>
      <c r="F20" s="3">
        <f t="shared" si="18"/>
        <v>83.451376145008751</v>
      </c>
      <c r="G20" s="3">
        <f t="shared" si="19"/>
        <v>91.37248860125932</v>
      </c>
      <c r="H20" s="3">
        <f t="shared" si="20"/>
        <v>100</v>
      </c>
      <c r="I20" s="3">
        <f t="shared" si="21"/>
        <v>109.39289395675634</v>
      </c>
      <c r="J20" s="3">
        <f t="shared" si="22"/>
        <v>119.6147475686665</v>
      </c>
      <c r="K20" s="3">
        <f t="shared" si="3"/>
        <v>130.73406358320304</v>
      </c>
      <c r="L20" s="3">
        <f t="shared" si="4"/>
        <v>142.82462475762736</v>
      </c>
      <c r="M20" s="3">
        <f t="shared" si="5"/>
        <v>155.96587177065027</v>
      </c>
      <c r="N20" s="3">
        <f t="shared" si="6"/>
        <v>170.24330612399041</v>
      </c>
      <c r="O20" s="3">
        <f t="shared" si="7"/>
        <v>185.74891955152677</v>
      </c>
      <c r="P20" s="3">
        <f t="shared" si="8"/>
        <v>202.58165153785328</v>
      </c>
      <c r="Q20" s="3">
        <f t="shared" si="9"/>
        <v>220.84787663628632</v>
      </c>
      <c r="R20" s="3">
        <f t="shared" si="9"/>
        <v>240.66192336910862</v>
      </c>
      <c r="S20" s="3">
        <f t="shared" si="9"/>
        <v>262.14662659006655</v>
      </c>
    </row>
    <row r="21" spans="3:19" x14ac:dyDescent="0.25">
      <c r="C21" s="2">
        <v>19</v>
      </c>
      <c r="D21" s="3">
        <f t="shared" si="10"/>
        <v>68.123262423989217</v>
      </c>
      <c r="E21" s="3">
        <f t="shared" si="17"/>
        <v>98.5</v>
      </c>
      <c r="F21" s="3">
        <f t="shared" si="18"/>
        <v>82.616862383558669</v>
      </c>
      <c r="G21" s="3">
        <f t="shared" si="19"/>
        <v>90.915626158253019</v>
      </c>
      <c r="H21" s="3">
        <f t="shared" si="20"/>
        <v>100</v>
      </c>
      <c r="I21" s="3">
        <f t="shared" si="21"/>
        <v>109.93985842654011</v>
      </c>
      <c r="J21" s="3">
        <f t="shared" si="22"/>
        <v>120.81089504435317</v>
      </c>
      <c r="K21" s="3">
        <f t="shared" si="3"/>
        <v>132.69507453695107</v>
      </c>
      <c r="L21" s="3">
        <f t="shared" si="4"/>
        <v>145.6811172527799</v>
      </c>
      <c r="M21" s="3">
        <f t="shared" si="5"/>
        <v>159.86501856491651</v>
      </c>
      <c r="N21" s="3">
        <f t="shared" si="6"/>
        <v>175.35060530771011</v>
      </c>
      <c r="O21" s="3">
        <f t="shared" si="7"/>
        <v>192.25013173583019</v>
      </c>
      <c r="P21" s="3">
        <f t="shared" si="8"/>
        <v>210.68491759936742</v>
      </c>
      <c r="Q21" s="3">
        <f t="shared" si="9"/>
        <v>230.78603108491919</v>
      </c>
      <c r="R21" s="3">
        <f t="shared" si="9"/>
        <v>252.69501953756406</v>
      </c>
      <c r="S21" s="3">
        <f t="shared" si="9"/>
        <v>276.56469105252017</v>
      </c>
    </row>
    <row r="22" spans="3:19" x14ac:dyDescent="0.25">
      <c r="C22" s="2">
        <v>20</v>
      </c>
      <c r="D22" s="3">
        <f t="shared" si="10"/>
        <v>66.760797175509438</v>
      </c>
      <c r="E22" s="3">
        <f t="shared" si="17"/>
        <v>98.5</v>
      </c>
      <c r="F22" s="3">
        <f t="shared" si="18"/>
        <v>81.790693759723084</v>
      </c>
      <c r="G22" s="3">
        <f t="shared" si="19"/>
        <v>90.461048027461757</v>
      </c>
      <c r="H22" s="3">
        <f t="shared" si="20"/>
        <v>100</v>
      </c>
      <c r="I22" s="3">
        <f t="shared" si="21"/>
        <v>110.4895577186728</v>
      </c>
      <c r="J22" s="3">
        <f t="shared" si="22"/>
        <v>122.01900399479671</v>
      </c>
      <c r="K22" s="3">
        <f t="shared" si="3"/>
        <v>134.68550065500531</v>
      </c>
      <c r="L22" s="3">
        <f t="shared" si="4"/>
        <v>148.59473959783551</v>
      </c>
      <c r="M22" s="3">
        <f t="shared" si="5"/>
        <v>163.86164402903941</v>
      </c>
      <c r="N22" s="3">
        <f t="shared" si="6"/>
        <v>180.61112346694142</v>
      </c>
      <c r="O22" s="3">
        <f t="shared" si="7"/>
        <v>198.97888634658423</v>
      </c>
      <c r="P22" s="3">
        <f t="shared" si="8"/>
        <v>219.11231430334212</v>
      </c>
      <c r="Q22" s="3">
        <f t="shared" si="9"/>
        <v>241.17140248374054</v>
      </c>
      <c r="R22" s="3">
        <f t="shared" si="9"/>
        <v>265.32977051444226</v>
      </c>
      <c r="S22" s="3">
        <f t="shared" si="9"/>
        <v>291.77574906040877</v>
      </c>
    </row>
    <row r="23" spans="3:19" x14ac:dyDescent="0.25">
      <c r="C23" s="2">
        <v>21</v>
      </c>
      <c r="D23" s="3">
        <f t="shared" si="10"/>
        <v>65.425581231999246</v>
      </c>
      <c r="E23" s="3">
        <f t="shared" si="17"/>
        <v>98.5</v>
      </c>
      <c r="F23" s="3">
        <f t="shared" si="18"/>
        <v>80.972786822125855</v>
      </c>
      <c r="G23" s="3">
        <f t="shared" si="19"/>
        <v>90.008742787324451</v>
      </c>
      <c r="H23" s="3">
        <f t="shared" si="20"/>
        <v>100</v>
      </c>
      <c r="I23" s="3">
        <f t="shared" si="21"/>
        <v>111.04200550726615</v>
      </c>
      <c r="J23" s="3">
        <f t="shared" si="22"/>
        <v>123.23919403474467</v>
      </c>
      <c r="K23" s="3">
        <f t="shared" si="3"/>
        <v>136.70578316483039</v>
      </c>
      <c r="L23" s="3">
        <f t="shared" si="4"/>
        <v>151.56663438979223</v>
      </c>
      <c r="M23" s="3">
        <f t="shared" si="5"/>
        <v>167.95818512976538</v>
      </c>
      <c r="N23" s="3">
        <f t="shared" si="6"/>
        <v>186.02945717094966</v>
      </c>
      <c r="O23" s="3">
        <f t="shared" si="7"/>
        <v>205.94314736871468</v>
      </c>
      <c r="P23" s="3">
        <f t="shared" si="8"/>
        <v>227.87680687547581</v>
      </c>
      <c r="Q23" s="3">
        <f t="shared" si="9"/>
        <v>252.02411559550885</v>
      </c>
      <c r="R23" s="3">
        <f t="shared" si="9"/>
        <v>278.5962590401644</v>
      </c>
      <c r="S23" s="3">
        <f t="shared" si="9"/>
        <v>307.82341525873125</v>
      </c>
    </row>
    <row r="24" spans="3:19" x14ac:dyDescent="0.25">
      <c r="C24" s="2">
        <v>22</v>
      </c>
      <c r="D24" s="3">
        <f t="shared" si="10"/>
        <v>64.117069607359255</v>
      </c>
      <c r="E24" s="3">
        <f t="shared" si="17"/>
        <v>98.5</v>
      </c>
      <c r="F24" s="3">
        <f t="shared" si="18"/>
        <v>80.163058953904596</v>
      </c>
      <c r="G24" s="3">
        <f t="shared" si="19"/>
        <v>89.558699073387828</v>
      </c>
      <c r="H24" s="3">
        <f t="shared" si="20"/>
        <v>100</v>
      </c>
      <c r="I24" s="3">
        <f t="shared" si="21"/>
        <v>111.59721553480247</v>
      </c>
      <c r="J24" s="3">
        <f t="shared" si="22"/>
        <v>124.47158597509213</v>
      </c>
      <c r="K24" s="3">
        <f t="shared" si="3"/>
        <v>138.75636991230283</v>
      </c>
      <c r="L24" s="3">
        <f t="shared" si="4"/>
        <v>154.59796707758807</v>
      </c>
      <c r="M24" s="3">
        <f t="shared" si="5"/>
        <v>172.15713975800949</v>
      </c>
      <c r="N24" s="3">
        <f t="shared" si="6"/>
        <v>191.61034088607815</v>
      </c>
      <c r="O24" s="3">
        <f t="shared" si="7"/>
        <v>213.15115752661967</v>
      </c>
      <c r="P24" s="3">
        <f t="shared" si="8"/>
        <v>236.99187915049484</v>
      </c>
      <c r="Q24" s="3">
        <f t="shared" si="9"/>
        <v>263.36520079730673</v>
      </c>
      <c r="R24" s="3">
        <f t="shared" si="9"/>
        <v>292.5260719921726</v>
      </c>
      <c r="S24" s="3">
        <f t="shared" si="9"/>
        <v>324.75370309796142</v>
      </c>
    </row>
    <row r="25" spans="3:19" x14ac:dyDescent="0.25">
      <c r="C25" s="2">
        <v>23</v>
      </c>
      <c r="D25" s="3">
        <f t="shared" si="10"/>
        <v>62.834728215212067</v>
      </c>
      <c r="E25" s="3">
        <f t="shared" si="17"/>
        <v>98.5</v>
      </c>
      <c r="F25" s="3">
        <f t="shared" si="18"/>
        <v>79.361428364365551</v>
      </c>
      <c r="G25" s="3">
        <f t="shared" si="19"/>
        <v>89.110905578020891</v>
      </c>
      <c r="H25" s="3">
        <f t="shared" si="20"/>
        <v>100</v>
      </c>
      <c r="I25" s="3">
        <f t="shared" si="21"/>
        <v>112.15520161247647</v>
      </c>
      <c r="J25" s="3">
        <f t="shared" si="22"/>
        <v>125.71630183484305</v>
      </c>
      <c r="K25" s="3">
        <f t="shared" si="3"/>
        <v>140.83771546098737</v>
      </c>
      <c r="L25" s="3">
        <f t="shared" si="4"/>
        <v>157.68992641913982</v>
      </c>
      <c r="M25" s="3">
        <f t="shared" si="5"/>
        <v>176.46106825195972</v>
      </c>
      <c r="N25" s="3">
        <f t="shared" si="6"/>
        <v>197.35865111266051</v>
      </c>
      <c r="O25" s="3">
        <f t="shared" si="7"/>
        <v>220.61144804005133</v>
      </c>
      <c r="P25" s="3">
        <f t="shared" si="8"/>
        <v>246.47155431651464</v>
      </c>
      <c r="Q25" s="3">
        <f t="shared" si="9"/>
        <v>275.21663483318554</v>
      </c>
      <c r="R25" s="3">
        <f t="shared" si="9"/>
        <v>307.15237559178127</v>
      </c>
      <c r="S25" s="3">
        <f t="shared" si="9"/>
        <v>342.61515676834927</v>
      </c>
    </row>
    <row r="26" spans="3:19" x14ac:dyDescent="0.25">
      <c r="C26" s="2">
        <v>24</v>
      </c>
      <c r="D26" s="3">
        <f t="shared" si="10"/>
        <v>61.578033650907827</v>
      </c>
      <c r="E26" s="3">
        <f t="shared" si="17"/>
        <v>98.5</v>
      </c>
      <c r="F26" s="3">
        <f t="shared" si="18"/>
        <v>78.567814080721888</v>
      </c>
      <c r="G26" s="3">
        <f t="shared" si="19"/>
        <v>88.665351050130781</v>
      </c>
      <c r="H26" s="3">
        <f t="shared" si="20"/>
        <v>100</v>
      </c>
      <c r="I26" s="3">
        <f t="shared" si="21"/>
        <v>112.71597762053885</v>
      </c>
      <c r="J26" s="3">
        <f t="shared" si="22"/>
        <v>126.97346485319149</v>
      </c>
      <c r="K26" s="3">
        <f t="shared" si="3"/>
        <v>142.95028119290217</v>
      </c>
      <c r="L26" s="3">
        <f t="shared" si="4"/>
        <v>160.84372494752262</v>
      </c>
      <c r="M26" s="3">
        <f t="shared" si="5"/>
        <v>180.8725949582587</v>
      </c>
      <c r="N26" s="3">
        <f t="shared" si="6"/>
        <v>203.27941064604033</v>
      </c>
      <c r="O26" s="3">
        <f t="shared" si="7"/>
        <v>228.3328487214531</v>
      </c>
      <c r="P26" s="3">
        <f t="shared" si="8"/>
        <v>256.33041648917526</v>
      </c>
      <c r="Q26" s="3">
        <f t="shared" si="9"/>
        <v>287.60138340067886</v>
      </c>
      <c r="R26" s="3">
        <f t="shared" si="9"/>
        <v>322.50999437137034</v>
      </c>
      <c r="S26" s="3">
        <f t="shared" si="9"/>
        <v>361.45899039060845</v>
      </c>
    </row>
    <row r="27" spans="3:19" x14ac:dyDescent="0.25">
      <c r="C27" s="2">
        <v>25</v>
      </c>
      <c r="D27" s="3">
        <f t="shared" si="10"/>
        <v>60.346472977889668</v>
      </c>
      <c r="E27" s="3">
        <f t="shared" si="17"/>
        <v>98.5</v>
      </c>
      <c r="F27" s="3">
        <f t="shared" si="18"/>
        <v>77.782135939914667</v>
      </c>
      <c r="G27" s="3">
        <f t="shared" si="19"/>
        <v>88.222024294880129</v>
      </c>
      <c r="H27" s="3">
        <f t="shared" si="20"/>
        <v>100</v>
      </c>
      <c r="I27" s="3">
        <f t="shared" si="21"/>
        <v>113.27955750864153</v>
      </c>
      <c r="J27" s="3">
        <f t="shared" si="22"/>
        <v>128.24319950172341</v>
      </c>
      <c r="K27" s="3">
        <f t="shared" si="3"/>
        <v>145.09453541079569</v>
      </c>
      <c r="L27" s="3">
        <f t="shared" si="4"/>
        <v>164.06059944647308</v>
      </c>
      <c r="M27" s="3">
        <f t="shared" si="5"/>
        <v>185.39440983221516</v>
      </c>
      <c r="N27" s="3">
        <f t="shared" si="6"/>
        <v>209.37779296542155</v>
      </c>
      <c r="O27" s="3">
        <f t="shared" si="7"/>
        <v>236.32449842670394</v>
      </c>
      <c r="P27" s="3">
        <f t="shared" si="8"/>
        <v>266.58363314874231</v>
      </c>
      <c r="Q27" s="3">
        <f t="shared" si="9"/>
        <v>300.5434456537094</v>
      </c>
      <c r="R27" s="3">
        <f t="shared" si="9"/>
        <v>338.63549408993885</v>
      </c>
      <c r="S27" s="3">
        <f t="shared" si="9"/>
        <v>381.33923486209187</v>
      </c>
    </row>
    <row r="28" spans="3:19" x14ac:dyDescent="0.25">
      <c r="C28" t="s">
        <v>4</v>
      </c>
      <c r="D28" s="3">
        <f>AVERAGE(D3:D27)</f>
        <v>77.720912963336204</v>
      </c>
      <c r="E28" s="3">
        <f t="shared" ref="E28:J28" si="23">AVERAGE(E3:E27)</f>
        <v>98.440899999999999</v>
      </c>
      <c r="F28" s="3">
        <f t="shared" si="23"/>
        <v>87.982741677937867</v>
      </c>
      <c r="G28" s="3">
        <f t="shared" si="23"/>
        <v>93.752686612754133</v>
      </c>
      <c r="H28" s="3">
        <f t="shared" si="23"/>
        <v>100</v>
      </c>
      <c r="I28" s="3">
        <f t="shared" si="23"/>
        <v>106.76764236948047</v>
      </c>
      <c r="J28" s="3">
        <f t="shared" si="23"/>
        <v>114.10252598696239</v>
      </c>
      <c r="K28" s="3">
        <f t="shared" ref="K28" si="24">AVERAGE(K3:K27)</f>
        <v>122.05587584522117</v>
      </c>
      <c r="L28" s="3">
        <f t="shared" ref="L28" si="25">AVERAGE(L3:L27)</f>
        <v>130.68362287080495</v>
      </c>
      <c r="M28" s="3">
        <f t="shared" ref="M28" si="26">AVERAGE(M3:M27)</f>
        <v>140.04683212483334</v>
      </c>
      <c r="N28" s="3">
        <f t="shared" ref="N28" si="27">AVERAGE(N3:N27)</f>
        <v>150.21216900584551</v>
      </c>
      <c r="O28" s="3">
        <f t="shared" ref="O28" si="28">AVERAGE(O3:O27)</f>
        <v>161.25240671044449</v>
      </c>
      <c r="P28" s="3">
        <f t="shared" ref="P28" si="29">AVERAGE(P3:P27)</f>
        <v>173.24697847469179</v>
      </c>
      <c r="Q28" s="3">
        <f t="shared" ref="Q28:S28" si="30">AVERAGE(Q3:Q27)</f>
        <v>186.2825784072237</v>
      </c>
      <c r="R28" s="3">
        <f t="shared" si="30"/>
        <v>200.45381503554847</v>
      </c>
      <c r="S28" s="3">
        <f t="shared" si="30"/>
        <v>215.86392202145984</v>
      </c>
    </row>
    <row r="29" spans="3:19" x14ac:dyDescent="0.25">
      <c r="C29" t="s">
        <v>5</v>
      </c>
      <c r="D29" s="3">
        <f>D28/D27</f>
        <v>1.287911440852763</v>
      </c>
      <c r="E29" s="3">
        <f t="shared" ref="E29:J29" si="31">E28/E27</f>
        <v>0.99939999999999996</v>
      </c>
      <c r="F29" s="3">
        <f t="shared" si="31"/>
        <v>1.1311432967835056</v>
      </c>
      <c r="G29" s="3">
        <f t="shared" si="31"/>
        <v>1.062690267674973</v>
      </c>
      <c r="H29" s="3">
        <f t="shared" si="31"/>
        <v>1</v>
      </c>
      <c r="I29" s="3">
        <f t="shared" si="31"/>
        <v>0.94251464887065528</v>
      </c>
      <c r="J29" s="3">
        <f t="shared" si="31"/>
        <v>0.88973549030511367</v>
      </c>
      <c r="K29" s="3">
        <f t="shared" ref="K29" si="32">K28/K27</f>
        <v>0.84121621465379914</v>
      </c>
      <c r="L29" s="3">
        <f t="shared" ref="L29" si="33">L28/L27</f>
        <v>0.79655702412231033</v>
      </c>
      <c r="M29" s="3">
        <f t="shared" ref="M29" si="34">M28/M27</f>
        <v>0.75539943330318271</v>
      </c>
      <c r="N29" s="3">
        <f t="shared" ref="N29" si="35">N28/N27</f>
        <v>0.71742168488065416</v>
      </c>
      <c r="O29" s="3">
        <f t="shared" ref="O29" si="36">O28/O27</f>
        <v>0.68233470412064345</v>
      </c>
      <c r="P29" s="3">
        <f t="shared" ref="P29" si="37">P28/P27</f>
        <v>0.64987852565587678</v>
      </c>
      <c r="Q29" s="3">
        <f t="shared" ref="Q29:S29" si="38">Q28/Q27</f>
        <v>0.61981913464138971</v>
      </c>
      <c r="R29" s="3">
        <f t="shared" si="38"/>
        <v>0.59194567177387958</v>
      </c>
      <c r="S29" s="3">
        <f t="shared" si="38"/>
        <v>0.56606795809910626</v>
      </c>
    </row>
    <row r="30" spans="3:19" x14ac:dyDescent="0.25">
      <c r="C30" t="s">
        <v>6</v>
      </c>
      <c r="D30" s="3">
        <f>D29/$J$29</f>
        <v>1.4475217127857902</v>
      </c>
      <c r="E30" s="3">
        <f t="shared" ref="E30:J30" si="39">E29/$J$29</f>
        <v>1.1232551818937553</v>
      </c>
      <c r="F30" s="3">
        <f t="shared" si="39"/>
        <v>1.2713253647953358</v>
      </c>
      <c r="G30" s="3">
        <f t="shared" si="39"/>
        <v>1.1943889833039576</v>
      </c>
      <c r="H30" s="3">
        <f t="shared" si="39"/>
        <v>1.1239295396175257</v>
      </c>
      <c r="I30" s="3">
        <f t="shared" si="39"/>
        <v>1.0593200553879696</v>
      </c>
      <c r="J30" s="3">
        <f t="shared" si="39"/>
        <v>1</v>
      </c>
      <c r="K30" s="3">
        <f t="shared" ref="K30" si="40">K29/$J$29</f>
        <v>0.94546775285464224</v>
      </c>
      <c r="L30" s="3">
        <f t="shared" ref="L30" si="41">L29/$J$29</f>
        <v>0.89527396940089465</v>
      </c>
      <c r="M30" s="3">
        <f t="shared" ref="M30" si="42">M29/$J$29</f>
        <v>0.84901573729978608</v>
      </c>
      <c r="N30" s="3">
        <f t="shared" ref="N30" si="43">N29/$J$29</f>
        <v>0.80633142399954327</v>
      </c>
      <c r="O30" s="3">
        <f t="shared" ref="O30" si="44">O29/$J$29</f>
        <v>0.76689612986737543</v>
      </c>
      <c r="P30" s="3">
        <f t="shared" ref="P30" si="45">P29/$J$29</f>
        <v>0.73041767214772602</v>
      </c>
      <c r="Q30" s="3">
        <f t="shared" ref="Q30:S30" si="46">Q29/$J$29</f>
        <v>0.69663303464363036</v>
      </c>
      <c r="R30" s="3">
        <f t="shared" si="46"/>
        <v>0.66530522635540346</v>
      </c>
      <c r="S30" s="3">
        <f t="shared" si="46"/>
        <v>0.63622049953856141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Coef_progress</vt:lpstr>
      <vt:lpstr>Calcul_coef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2020-05-14T17:16:12Z</dcterms:created>
  <dcterms:modified xsi:type="dcterms:W3CDTF">2020-05-17T16:51:13Z</dcterms:modified>
</cp:coreProperties>
</file>