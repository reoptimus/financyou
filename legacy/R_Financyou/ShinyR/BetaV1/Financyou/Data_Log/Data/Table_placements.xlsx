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_Financyou\ShinyR\BetaV1\Financyou\Data_Log\Data\"/>
    </mc:Choice>
  </mc:AlternateContent>
  <xr:revisionPtr revIDLastSave="0" documentId="13_ncr:1_{40C19279-7CC0-46FA-AF3A-185600C3F17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_placements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3" i="1" l="1"/>
  <c r="B15" i="2" l="1"/>
  <c r="B12" i="2"/>
  <c r="B9" i="2" l="1"/>
  <c r="B10" i="2"/>
  <c r="B11" i="2"/>
  <c r="B13" i="2"/>
  <c r="B14" i="2"/>
  <c r="B16" i="2"/>
  <c r="B17" i="2"/>
  <c r="B18" i="2"/>
  <c r="B19" i="2"/>
  <c r="B20" i="2"/>
  <c r="B21" i="2"/>
  <c r="B22" i="2"/>
  <c r="B23" i="2"/>
  <c r="B24" i="2"/>
</calcChain>
</file>

<file path=xl/sharedStrings.xml><?xml version="1.0" encoding="utf-8"?>
<sst xmlns="http://schemas.openxmlformats.org/spreadsheetml/2006/main" count="66" uniqueCount="51">
  <si>
    <t>ID</t>
  </si>
  <si>
    <t>placements</t>
  </si>
  <si>
    <t>Fees</t>
  </si>
  <si>
    <t>Ab_IR</t>
  </si>
  <si>
    <t>Taux_imp_IR</t>
  </si>
  <si>
    <t>Pv_imp_IR</t>
  </si>
  <si>
    <t>Taux_imp_surtaxe</t>
  </si>
  <si>
    <t>Ab_CS</t>
  </si>
  <si>
    <t>Taux_imp_CS</t>
  </si>
  <si>
    <t>Taux_div</t>
  </si>
  <si>
    <t>alpha_div_Frais</t>
  </si>
  <si>
    <t>Ab_Tf</t>
  </si>
  <si>
    <t>Taux_Tf</t>
  </si>
  <si>
    <t>Alpha_FE</t>
  </si>
  <si>
    <t>Spread_emprunt</t>
  </si>
  <si>
    <t>Kro1</t>
  </si>
  <si>
    <t>Kro2</t>
  </si>
  <si>
    <t>KroPv</t>
  </si>
  <si>
    <t>annee_empr</t>
  </si>
  <si>
    <t>RactionPEA</t>
  </si>
  <si>
    <t>ROPCVMMonet</t>
  </si>
  <si>
    <t>RAssVie_Eur</t>
  </si>
  <si>
    <t>RimmoLoc</t>
  </si>
  <si>
    <t>TableAbImmoIR</t>
  </si>
  <si>
    <t>FormuleIR</t>
  </si>
  <si>
    <t>TableAbImmoCS</t>
  </si>
  <si>
    <t>FormuleSurTaxePv</t>
  </si>
  <si>
    <t>RimmoPropre</t>
  </si>
  <si>
    <t>RimmoPinel</t>
  </si>
  <si>
    <t>RimmoSecond</t>
  </si>
  <si>
    <t>Monetaire</t>
  </si>
  <si>
    <t>List des actifs disponibles</t>
  </si>
  <si>
    <t>Tr_GSE_Prix</t>
  </si>
  <si>
    <t>Tr_GSE_Div</t>
  </si>
  <si>
    <t>Roblig_AA_PEA</t>
  </si>
  <si>
    <t>obligations souveraines A</t>
  </si>
  <si>
    <t>Roblig_A_PEA</t>
  </si>
  <si>
    <t>assurance vie EUR_V2</t>
  </si>
  <si>
    <t>Rass_Vie_UC</t>
  </si>
  <si>
    <t>assurance vie UC</t>
  </si>
  <si>
    <t>Prix Immobilier</t>
  </si>
  <si>
    <t>Roblig_BBB_PEA</t>
  </si>
  <si>
    <t>Roblig_corpo_AA_PEA</t>
  </si>
  <si>
    <t>Roblig_corpo_A_PEA</t>
  </si>
  <si>
    <t>obligations souveraines AA</t>
  </si>
  <si>
    <t>obligations souveraines BBB</t>
  </si>
  <si>
    <t>obligations corpo AA</t>
  </si>
  <si>
    <t>obligations corpo A</t>
  </si>
  <si>
    <t>Prix + div actions</t>
  </si>
  <si>
    <t>KroPinel</t>
  </si>
  <si>
    <t>Liquide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</si>
</sst>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93A1A1"/>
      <name val="Lucida Console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3" fillId="0" borderId="1" xfId="2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14"/>
  <sheetViews>
    <sheetView tabSelected="1" topLeftCell="E1" workbookViewId="0">
      <selection activeCell="W14" sqref="W14"/>
    </sheetView>
  </sheetViews>
  <sheetFormatPr baseColWidth="10" defaultRowHeight="15" x14ac:dyDescent="0.25"/>
  <cols>
    <col min="2" max="2" width="19.7109375" customWidth="1"/>
    <col min="3" max="3" width="29.28515625" customWidth="1"/>
    <col min="4" max="4" width="10.42578125" customWidth="1"/>
    <col min="5" max="21" width="9.28515625" customWidth="1"/>
  </cols>
  <sheetData>
    <row r="1" spans="1:23" s="3" customFormat="1" ht="45" x14ac:dyDescent="0.25">
      <c r="A1" s="3" t="s">
        <v>0</v>
      </c>
      <c r="B1" s="3" t="s">
        <v>1</v>
      </c>
      <c r="C1" s="3" t="s">
        <v>32</v>
      </c>
      <c r="D1" s="3" t="s">
        <v>33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49</v>
      </c>
      <c r="W1" s="3" t="s">
        <v>50</v>
      </c>
    </row>
    <row r="2" spans="1:23" x14ac:dyDescent="0.25">
      <c r="A2">
        <v>1</v>
      </c>
      <c r="B2" t="s">
        <v>19</v>
      </c>
      <c r="C2" t="s">
        <v>48</v>
      </c>
      <c r="D2">
        <v>0</v>
      </c>
      <c r="E2">
        <v>0.01</v>
      </c>
      <c r="F2">
        <v>1</v>
      </c>
      <c r="G2">
        <v>0</v>
      </c>
      <c r="H2">
        <v>0</v>
      </c>
      <c r="I2">
        <v>0</v>
      </c>
      <c r="J2">
        <v>0</v>
      </c>
      <c r="K2">
        <v>0.155</v>
      </c>
      <c r="L2">
        <v>0</v>
      </c>
      <c r="M2">
        <v>1</v>
      </c>
      <c r="N2">
        <v>0</v>
      </c>
      <c r="O2">
        <v>0</v>
      </c>
      <c r="P2">
        <v>0.01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</row>
    <row r="3" spans="1:23" x14ac:dyDescent="0.25">
      <c r="A3">
        <v>2</v>
      </c>
      <c r="B3" t="s">
        <v>34</v>
      </c>
      <c r="C3" t="s">
        <v>44</v>
      </c>
      <c r="D3">
        <v>0</v>
      </c>
      <c r="E3">
        <v>0.01</v>
      </c>
      <c r="F3">
        <v>1</v>
      </c>
      <c r="G3">
        <v>0</v>
      </c>
      <c r="H3">
        <v>0</v>
      </c>
      <c r="I3">
        <v>0</v>
      </c>
      <c r="J3">
        <v>0</v>
      </c>
      <c r="K3">
        <v>0.155</v>
      </c>
      <c r="L3">
        <v>0</v>
      </c>
      <c r="M3">
        <v>1</v>
      </c>
      <c r="N3">
        <v>0</v>
      </c>
      <c r="O3">
        <v>0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</row>
    <row r="4" spans="1:23" x14ac:dyDescent="0.25">
      <c r="A4">
        <v>3</v>
      </c>
      <c r="B4" t="s">
        <v>36</v>
      </c>
      <c r="C4" t="s">
        <v>35</v>
      </c>
      <c r="D4">
        <v>0</v>
      </c>
      <c r="E4">
        <v>0.01</v>
      </c>
      <c r="F4">
        <v>1</v>
      </c>
      <c r="G4">
        <v>0</v>
      </c>
      <c r="H4">
        <v>0</v>
      </c>
      <c r="I4">
        <v>0</v>
      </c>
      <c r="J4">
        <v>0</v>
      </c>
      <c r="K4">
        <v>0.155</v>
      </c>
      <c r="L4">
        <v>0</v>
      </c>
      <c r="M4">
        <v>1</v>
      </c>
      <c r="N4">
        <v>0</v>
      </c>
      <c r="O4">
        <v>0</v>
      </c>
      <c r="P4">
        <v>0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</row>
    <row r="5" spans="1:23" x14ac:dyDescent="0.25">
      <c r="A5">
        <v>4</v>
      </c>
      <c r="B5" t="s">
        <v>41</v>
      </c>
      <c r="C5" t="s">
        <v>45</v>
      </c>
      <c r="D5">
        <v>0</v>
      </c>
      <c r="E5">
        <v>0.01</v>
      </c>
      <c r="F5">
        <v>1</v>
      </c>
      <c r="G5">
        <v>0</v>
      </c>
      <c r="H5">
        <v>0</v>
      </c>
      <c r="I5">
        <v>0</v>
      </c>
      <c r="J5">
        <v>0</v>
      </c>
      <c r="K5">
        <v>0.155</v>
      </c>
      <c r="L5">
        <v>0</v>
      </c>
      <c r="M5">
        <v>1</v>
      </c>
      <c r="N5">
        <v>0</v>
      </c>
      <c r="O5">
        <v>0</v>
      </c>
      <c r="P5">
        <v>0</v>
      </c>
      <c r="Q5">
        <v>0.1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 x14ac:dyDescent="0.25">
      <c r="A6">
        <v>5</v>
      </c>
      <c r="B6" t="s">
        <v>42</v>
      </c>
      <c r="C6" t="s">
        <v>46</v>
      </c>
      <c r="D6">
        <v>0</v>
      </c>
      <c r="E6">
        <v>0.01</v>
      </c>
      <c r="F6">
        <v>1</v>
      </c>
      <c r="G6">
        <v>0</v>
      </c>
      <c r="H6">
        <v>0</v>
      </c>
      <c r="I6">
        <v>0</v>
      </c>
      <c r="J6">
        <v>0</v>
      </c>
      <c r="K6">
        <v>0.155</v>
      </c>
      <c r="L6">
        <v>0</v>
      </c>
      <c r="M6">
        <v>1</v>
      </c>
      <c r="N6">
        <v>0</v>
      </c>
      <c r="O6">
        <v>0</v>
      </c>
      <c r="P6">
        <v>0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</row>
    <row r="7" spans="1:23" x14ac:dyDescent="0.25">
      <c r="A7">
        <v>6</v>
      </c>
      <c r="B7" t="s">
        <v>43</v>
      </c>
      <c r="C7" t="s">
        <v>47</v>
      </c>
      <c r="D7">
        <v>0</v>
      </c>
      <c r="E7">
        <v>0.01</v>
      </c>
      <c r="F7">
        <v>1</v>
      </c>
      <c r="G7">
        <v>0</v>
      </c>
      <c r="H7">
        <v>0</v>
      </c>
      <c r="I7">
        <v>0</v>
      </c>
      <c r="J7">
        <v>0</v>
      </c>
      <c r="K7">
        <v>0.155</v>
      </c>
      <c r="L7">
        <v>0</v>
      </c>
      <c r="M7">
        <v>1</v>
      </c>
      <c r="N7">
        <v>0</v>
      </c>
      <c r="O7">
        <v>0</v>
      </c>
      <c r="P7">
        <v>0</v>
      </c>
      <c r="Q7">
        <v>0.1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</row>
    <row r="8" spans="1:23" x14ac:dyDescent="0.25">
      <c r="A8">
        <v>7</v>
      </c>
      <c r="B8" t="s">
        <v>20</v>
      </c>
      <c r="C8" t="s">
        <v>30</v>
      </c>
      <c r="D8">
        <v>0</v>
      </c>
      <c r="E8">
        <v>1E-3</v>
      </c>
      <c r="F8">
        <v>1</v>
      </c>
      <c r="G8">
        <v>0</v>
      </c>
      <c r="H8">
        <v>0</v>
      </c>
      <c r="I8">
        <v>0</v>
      </c>
      <c r="J8">
        <v>0</v>
      </c>
      <c r="K8">
        <v>0.155</v>
      </c>
      <c r="L8">
        <v>0</v>
      </c>
      <c r="M8">
        <v>1</v>
      </c>
      <c r="N8">
        <v>0</v>
      </c>
      <c r="O8">
        <v>0</v>
      </c>
      <c r="P8">
        <v>0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</row>
    <row r="9" spans="1:23" x14ac:dyDescent="0.25">
      <c r="A9">
        <v>8</v>
      </c>
      <c r="B9" t="s">
        <v>21</v>
      </c>
      <c r="C9" t="s">
        <v>37</v>
      </c>
      <c r="D9">
        <v>0</v>
      </c>
      <c r="E9">
        <v>1.4999999999999999E-2</v>
      </c>
      <c r="F9">
        <v>1</v>
      </c>
      <c r="G9">
        <v>0</v>
      </c>
      <c r="H9">
        <v>7.4999999999999997E-2</v>
      </c>
      <c r="I9">
        <v>0</v>
      </c>
      <c r="J9">
        <v>0</v>
      </c>
      <c r="K9">
        <v>0.155</v>
      </c>
      <c r="L9">
        <v>0</v>
      </c>
      <c r="M9">
        <v>1</v>
      </c>
      <c r="N9">
        <v>0</v>
      </c>
      <c r="O9">
        <v>0</v>
      </c>
      <c r="P9">
        <v>2E-3</v>
      </c>
      <c r="Q9">
        <v>0.1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 x14ac:dyDescent="0.25">
      <c r="A10">
        <v>9</v>
      </c>
      <c r="B10" t="s">
        <v>38</v>
      </c>
      <c r="C10" t="s">
        <v>39</v>
      </c>
      <c r="D10">
        <v>0</v>
      </c>
      <c r="E10">
        <v>1.4999999999999999E-2</v>
      </c>
      <c r="F10">
        <v>1</v>
      </c>
      <c r="G10">
        <v>0</v>
      </c>
      <c r="H10">
        <v>7.4999999999999997E-2</v>
      </c>
      <c r="I10">
        <v>0</v>
      </c>
      <c r="J10">
        <v>0</v>
      </c>
      <c r="K10">
        <v>0.155</v>
      </c>
      <c r="L10">
        <v>0</v>
      </c>
      <c r="M10">
        <v>1</v>
      </c>
      <c r="N10">
        <v>0</v>
      </c>
      <c r="O10">
        <v>0</v>
      </c>
      <c r="P10">
        <v>5.0000000000000001E-3</v>
      </c>
      <c r="Q10">
        <v>0.1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 x14ac:dyDescent="0.25">
      <c r="A11">
        <v>10</v>
      </c>
      <c r="B11" t="s">
        <v>22</v>
      </c>
      <c r="C11" t="s">
        <v>40</v>
      </c>
      <c r="E11">
        <v>0.1</v>
      </c>
      <c r="F11" t="s">
        <v>23</v>
      </c>
      <c r="G11" t="s">
        <v>24</v>
      </c>
      <c r="H11">
        <v>0.19</v>
      </c>
      <c r="I11">
        <v>0.15</v>
      </c>
      <c r="J11" t="s">
        <v>25</v>
      </c>
      <c r="K11">
        <v>0.155</v>
      </c>
      <c r="L11">
        <v>0.03</v>
      </c>
      <c r="M11">
        <v>0.8</v>
      </c>
      <c r="N11">
        <v>0.5</v>
      </c>
      <c r="O11">
        <v>0.15</v>
      </c>
      <c r="P11">
        <v>0</v>
      </c>
      <c r="Q11">
        <v>0.01</v>
      </c>
      <c r="R11">
        <v>1</v>
      </c>
      <c r="S11">
        <v>1</v>
      </c>
      <c r="T11" t="s">
        <v>26</v>
      </c>
      <c r="U11">
        <v>15</v>
      </c>
      <c r="V11">
        <v>0</v>
      </c>
      <c r="W11">
        <v>0</v>
      </c>
    </row>
    <row r="12" spans="1:23" x14ac:dyDescent="0.25">
      <c r="A12">
        <v>11</v>
      </c>
      <c r="B12" t="s">
        <v>27</v>
      </c>
      <c r="C12" t="s">
        <v>40</v>
      </c>
      <c r="E12">
        <v>0.1</v>
      </c>
      <c r="F12" t="s">
        <v>23</v>
      </c>
      <c r="G12" t="s">
        <v>24</v>
      </c>
      <c r="H12">
        <v>0.19</v>
      </c>
      <c r="I12">
        <v>0.15</v>
      </c>
      <c r="J12" t="s">
        <v>25</v>
      </c>
      <c r="K12">
        <v>0.155</v>
      </c>
      <c r="L12">
        <v>0.03</v>
      </c>
      <c r="M12">
        <v>0.8</v>
      </c>
      <c r="N12">
        <v>0.5</v>
      </c>
      <c r="O12">
        <v>0.15</v>
      </c>
      <c r="P12">
        <v>0</v>
      </c>
      <c r="Q12">
        <v>0.01</v>
      </c>
      <c r="R12">
        <v>1</v>
      </c>
      <c r="S12">
        <v>0</v>
      </c>
      <c r="T12" t="s">
        <v>26</v>
      </c>
      <c r="U12">
        <v>20</v>
      </c>
      <c r="V12">
        <v>0</v>
      </c>
      <c r="W12">
        <v>0</v>
      </c>
    </row>
    <row r="13" spans="1:23" x14ac:dyDescent="0.25">
      <c r="A13">
        <v>12</v>
      </c>
      <c r="B13" t="s">
        <v>28</v>
      </c>
      <c r="C13" t="s">
        <v>40</v>
      </c>
      <c r="E13">
        <v>0.2</v>
      </c>
      <c r="F13" t="s">
        <v>23</v>
      </c>
      <c r="G13" t="s">
        <v>24</v>
      </c>
      <c r="H13">
        <v>0.19</v>
      </c>
      <c r="I13">
        <v>0.15</v>
      </c>
      <c r="J13" t="s">
        <v>25</v>
      </c>
      <c r="K13">
        <v>0.155</v>
      </c>
      <c r="L13">
        <f>L11-0.01</f>
        <v>1.9999999999999997E-2</v>
      </c>
      <c r="M13">
        <v>0.8</v>
      </c>
      <c r="N13">
        <v>0.5</v>
      </c>
      <c r="O13">
        <v>0.15</v>
      </c>
      <c r="P13">
        <v>0</v>
      </c>
      <c r="Q13">
        <v>0.01</v>
      </c>
      <c r="R13">
        <v>1</v>
      </c>
      <c r="S13">
        <v>1</v>
      </c>
      <c r="T13" t="s">
        <v>26</v>
      </c>
      <c r="U13">
        <v>15</v>
      </c>
      <c r="V13">
        <v>1</v>
      </c>
      <c r="W13">
        <v>0</v>
      </c>
    </row>
    <row r="14" spans="1:23" x14ac:dyDescent="0.25">
      <c r="A14">
        <v>13</v>
      </c>
      <c r="B14" t="s">
        <v>29</v>
      </c>
      <c r="C14" t="s">
        <v>40</v>
      </c>
      <c r="E14">
        <v>0.1</v>
      </c>
      <c r="F14" t="s">
        <v>23</v>
      </c>
      <c r="G14" t="s">
        <v>24</v>
      </c>
      <c r="H14">
        <v>0.19</v>
      </c>
      <c r="I14">
        <v>0.15</v>
      </c>
      <c r="J14" t="s">
        <v>25</v>
      </c>
      <c r="K14">
        <v>0.155</v>
      </c>
      <c r="L14">
        <v>0.03</v>
      </c>
      <c r="M14">
        <v>0.8</v>
      </c>
      <c r="N14">
        <v>0.5</v>
      </c>
      <c r="O14">
        <v>0.15</v>
      </c>
      <c r="P14">
        <v>0</v>
      </c>
      <c r="Q14">
        <v>0.01</v>
      </c>
      <c r="R14">
        <v>0</v>
      </c>
      <c r="S14">
        <v>1</v>
      </c>
      <c r="T14" t="s">
        <v>26</v>
      </c>
      <c r="U14">
        <v>15</v>
      </c>
      <c r="V14">
        <v>0</v>
      </c>
      <c r="W14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C494B8-8E2C-49BE-9E99-200F5EBDA69A}">
          <x14:formula1>
            <xm:f>Feuil1!$B$8:$B$34</xm:f>
          </x14:formula1>
          <xm:sqref>C2:D14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689C-546A-49A5-847C-3B29A4D74533}">
  <sheetPr codeName="Feuil2"/>
  <dimension ref="B3:B24"/>
  <sheetViews>
    <sheetView topLeftCell="A7" workbookViewId="0">
      <selection activeCell="B16" sqref="B16"/>
    </sheetView>
  </sheetViews>
  <sheetFormatPr baseColWidth="10" defaultRowHeight="15" x14ac:dyDescent="0.25"/>
  <sheetData>
    <row r="3" spans="2:2" x14ac:dyDescent="0.25">
      <c r="B3" s="1"/>
    </row>
    <row r="4" spans="2:2" x14ac:dyDescent="0.25">
      <c r="B4" s="1"/>
    </row>
    <row r="5" spans="2:2" x14ac:dyDescent="0.25">
      <c r="B5" s="1"/>
    </row>
    <row r="7" spans="2:2" ht="20.25" thickBot="1" x14ac:dyDescent="0.35">
      <c r="B7" s="2" t="s">
        <v>31</v>
      </c>
    </row>
    <row r="8" spans="2:2" ht="15.75" thickTop="1" x14ac:dyDescent="0.25">
      <c r="B8">
        <v>0</v>
      </c>
    </row>
    <row r="9" spans="2:2" x14ac:dyDescent="0.25">
      <c r="B9" t="str">
        <f>"Monetaire"</f>
        <v>Monetaire</v>
      </c>
    </row>
    <row r="10" spans="2:2" x14ac:dyDescent="0.25">
      <c r="B10" t="str">
        <f xml:space="preserve"> "Prix Actions"</f>
        <v>Prix Actions</v>
      </c>
    </row>
    <row r="11" spans="2:2" x14ac:dyDescent="0.25">
      <c r="B11" t="str">
        <f>"div actions"</f>
        <v>div actions</v>
      </c>
    </row>
    <row r="12" spans="2:2" x14ac:dyDescent="0.25">
      <c r="B12" t="str">
        <f>"Prix + div actions"</f>
        <v>Prix + div actions</v>
      </c>
    </row>
    <row r="13" spans="2:2" x14ac:dyDescent="0.25">
      <c r="B13" t="str">
        <f>"Prix Immobilier"</f>
        <v>Prix Immobilier</v>
      </c>
    </row>
    <row r="14" spans="2:2" x14ac:dyDescent="0.25">
      <c r="B14" t="str">
        <f>"Loyers immo"</f>
        <v>Loyers immo</v>
      </c>
    </row>
    <row r="15" spans="2:2" x14ac:dyDescent="0.25">
      <c r="B15" t="str">
        <f>"Prix + Loyers immo"</f>
        <v>Prix + Loyers immo</v>
      </c>
    </row>
    <row r="16" spans="2:2" x14ac:dyDescent="0.25">
      <c r="B16" t="str">
        <f xml:space="preserve"> "obligations souveraines AA"</f>
        <v>obligations souveraines AA</v>
      </c>
    </row>
    <row r="17" spans="2:2" x14ac:dyDescent="0.25">
      <c r="B17" t="str">
        <f>"obligations souveraines A"</f>
        <v>obligations souveraines A</v>
      </c>
    </row>
    <row r="18" spans="2:2" x14ac:dyDescent="0.25">
      <c r="B18" t="str">
        <f xml:space="preserve"> "obligations souveraines BBB"</f>
        <v>obligations souveraines BBB</v>
      </c>
    </row>
    <row r="19" spans="2:2" x14ac:dyDescent="0.25">
      <c r="B19" t="str">
        <f>"obligations corpo AA"</f>
        <v>obligations corpo AA</v>
      </c>
    </row>
    <row r="20" spans="2:2" x14ac:dyDescent="0.25">
      <c r="B20" t="str">
        <f xml:space="preserve">    "obligations corpo A"</f>
        <v>obligations corpo A</v>
      </c>
    </row>
    <row r="21" spans="2:2" x14ac:dyDescent="0.25">
      <c r="B21" t="str">
        <f xml:space="preserve">   "obligations corpos BBB"</f>
        <v>obligations corpos BBB</v>
      </c>
    </row>
    <row r="22" spans="2:2" x14ac:dyDescent="0.25">
      <c r="B22" t="str">
        <f xml:space="preserve">   "assurance vie EUR"</f>
        <v>assurance vie EUR</v>
      </c>
    </row>
    <row r="23" spans="2:2" x14ac:dyDescent="0.25">
      <c r="B23" t="str">
        <f xml:space="preserve"> "assurance vie EUR_V2"</f>
        <v>assurance vie EUR_V2</v>
      </c>
    </row>
    <row r="24" spans="2:2" x14ac:dyDescent="0.25">
      <c r="B24" t="str">
        <f xml:space="preserve">     "assurance vie UC"</f>
        <v>assurance vie UC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Table_placements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et Seb</dc:creator>
  <cp:lastModifiedBy>Dell</cp:lastModifiedBy>
  <dcterms:created xsi:type="dcterms:W3CDTF">2020-01-03T17:37:06Z</dcterms:created>
  <dcterms:modified xsi:type="dcterms:W3CDTF">2020-06-12T08:35:58Z</dcterms:modified>
</cp:coreProperties>
</file>