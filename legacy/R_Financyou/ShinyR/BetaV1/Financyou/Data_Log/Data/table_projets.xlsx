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_Financyou\ShinyR\BetaV1\Financyou\Data_Log\Data\"/>
    </mc:Choice>
  </mc:AlternateContent>
  <xr:revisionPtr revIDLastSave="0" documentId="13_ncr:1_{777414DF-8481-42A9-84C7-B3BDA9AC3BA0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tab1" sheetId="2" r:id="rId1"/>
    <sheet name="tab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" i="3" l="1"/>
  <c r="F20" i="2" l="1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2" i="2"/>
  <c r="F5" i="2" l="1"/>
  <c r="F4" i="2"/>
  <c r="F3" i="2"/>
  <c r="T10" i="3"/>
  <c r="T3" i="3"/>
</calcChain>
</file>

<file path=xl/sharedStrings.xml><?xml version="1.0" encoding="utf-8"?>
<sst xmlns="http://schemas.openxmlformats.org/spreadsheetml/2006/main" count="436" uniqueCount="167">
  <si>
    <t>Evol_part_impot</t>
  </si>
  <si>
    <t>ID_cadence</t>
  </si>
  <si>
    <t>Impact_epargne</t>
  </si>
  <si>
    <t>Impact_revenu</t>
  </si>
  <si>
    <t>famille</t>
  </si>
  <si>
    <t>Y</t>
  </si>
  <si>
    <t>Flat</t>
  </si>
  <si>
    <t>NULL</t>
  </si>
  <si>
    <t>Child</t>
  </si>
  <si>
    <t>general</t>
  </si>
  <si>
    <t>Pic</t>
  </si>
  <si>
    <t>UI_Id</t>
  </si>
  <si>
    <t>UI_type</t>
  </si>
  <si>
    <t>UI_args</t>
  </si>
  <si>
    <t>textInput</t>
  </si>
  <si>
    <t>sliderInput</t>
  </si>
  <si>
    <t>projet</t>
  </si>
  <si>
    <t>UI_Id_1</t>
  </si>
  <si>
    <t>UI_Id_2</t>
  </si>
  <si>
    <t>UI_Id_3</t>
  </si>
  <si>
    <t>UI_Id_4</t>
  </si>
  <si>
    <t>nom_proj</t>
  </si>
  <si>
    <t>date</t>
  </si>
  <si>
    <t>dateRangeMonthsInput</t>
  </si>
  <si>
    <t>mydateInput</t>
  </si>
  <si>
    <t>num_input</t>
  </si>
  <si>
    <t>liste_deroul</t>
  </si>
  <si>
    <t>slider</t>
  </si>
  <si>
    <t>slider_range</t>
  </si>
  <si>
    <t>slider_range_date</t>
  </si>
  <si>
    <t>numericInput</t>
  </si>
  <si>
    <t>selectInput</t>
  </si>
  <si>
    <t>slider_date</t>
  </si>
  <si>
    <t>temps partiel</t>
  </si>
  <si>
    <t>un comcubin arrete de travailler</t>
  </si>
  <si>
    <t>agrandir la famille</t>
  </si>
  <si>
    <t>prevoir des etudes superieures</t>
  </si>
  <si>
    <t>changer pour un chauffage basse conso</t>
  </si>
  <si>
    <t>faire des travaux elligible BBC</t>
  </si>
  <si>
    <t>faire des travaux non BBC</t>
  </si>
  <si>
    <t>installer des panneaux solaires</t>
  </si>
  <si>
    <t>depense importante avec frais d'entretien (ex:bateau)</t>
  </si>
  <si>
    <t>depense instannee</t>
  </si>
  <si>
    <t>conge long sans remuneration</t>
  </si>
  <si>
    <t>UI_title</t>
  </si>
  <si>
    <t>UI_Id_5</t>
  </si>
  <si>
    <t>groupe</t>
  </si>
  <si>
    <t>travail</t>
  </si>
  <si>
    <t>equipement</t>
  </si>
  <si>
    <t>loisir</t>
  </si>
  <si>
    <t>Credits_impots</t>
  </si>
  <si>
    <t>label_1</t>
  </si>
  <si>
    <t>label_2</t>
  </si>
  <si>
    <t>label_3</t>
  </si>
  <si>
    <t>label_4</t>
  </si>
  <si>
    <t>label_5</t>
  </si>
  <si>
    <t>Periode du temps partiel</t>
  </si>
  <si>
    <t>Quel part travaillee</t>
  </si>
  <si>
    <t>Le nom du projet</t>
  </si>
  <si>
    <t>Quel comcubin?</t>
  </si>
  <si>
    <t>Dates prevues</t>
  </si>
  <si>
    <t>Date d installation</t>
  </si>
  <si>
    <t>Montant des travaux</t>
  </si>
  <si>
    <t>andebut</t>
  </si>
  <si>
    <t>mdebut</t>
  </si>
  <si>
    <t>mvers</t>
  </si>
  <si>
    <t>duree</t>
  </si>
  <si>
    <t>msortie</t>
  </si>
  <si>
    <t>pente</t>
  </si>
  <si>
    <t>input_implicite</t>
  </si>
  <si>
    <t>date_range</t>
  </si>
  <si>
    <t>hist_$revenu[[1]]$Net_imposable</t>
  </si>
  <si>
    <t>a</t>
  </si>
  <si>
    <t>b-a</t>
  </si>
  <si>
    <t>horiz-a</t>
  </si>
  <si>
    <t>slider_pourc</t>
  </si>
  <si>
    <t>Economie annuelle</t>
  </si>
  <si>
    <t>slider_ans</t>
  </si>
  <si>
    <t>Duree de vie attendue de l installation</t>
  </si>
  <si>
    <t>Date de la depense</t>
  </si>
  <si>
    <t>Montant de la depense</t>
  </si>
  <si>
    <t>"definissez la periode prevue"</t>
  </si>
  <si>
    <t>"date prevue"</t>
  </si>
  <si>
    <t>"pour quel montant (en eur)"</t>
  </si>
  <si>
    <t>"choisissez dans la liste"</t>
  </si>
  <si>
    <t xml:space="preserve"> "en milliers deur"</t>
  </si>
  <si>
    <t>"definissez un fourchette"</t>
  </si>
  <si>
    <t>"prennez un nom explicite"</t>
  </si>
  <si>
    <t>Value</t>
  </si>
  <si>
    <t>"nom_projet"</t>
  </si>
  <si>
    <t>liste_deroul_12</t>
  </si>
  <si>
    <t>montant annuel enmilliers eur</t>
  </si>
  <si>
    <t>slider_2</t>
  </si>
  <si>
    <t>slider_3</t>
  </si>
  <si>
    <t>Frais annuel d'entretien</t>
  </si>
  <si>
    <t>Montant du crédit</t>
  </si>
  <si>
    <t>Durée du crédit</t>
  </si>
  <si>
    <t>Taux du crédit</t>
  </si>
  <si>
    <t>depense via credit</t>
  </si>
  <si>
    <t>Periode de l'investissement</t>
  </si>
  <si>
    <t>immo</t>
  </si>
  <si>
    <t>Investissement Pinel</t>
  </si>
  <si>
    <t>Investissement Locatif</t>
  </si>
  <si>
    <t>Résidence secondaire</t>
  </si>
  <si>
    <t>Loyer net mensuel</t>
  </si>
  <si>
    <t>Montant estimé du bien avec frais</t>
  </si>
  <si>
    <t>UI_Id_6</t>
  </si>
  <si>
    <t>UI_Id_7</t>
  </si>
  <si>
    <t>label_6</t>
  </si>
  <si>
    <t>label_7</t>
  </si>
  <si>
    <t>Duree de l'emprunt envisagé</t>
  </si>
  <si>
    <t>slider_montant_immo</t>
  </si>
  <si>
    <t>slider_loyer_immo</t>
  </si>
  <si>
    <t>slider_taux_int</t>
  </si>
  <si>
    <t>Date de l'achat</t>
  </si>
  <si>
    <t xml:space="preserve"> "en milliers d'euro"</t>
  </si>
  <si>
    <t>"date prévue"</t>
  </si>
  <si>
    <t>"définissez le pourcentage"</t>
  </si>
  <si>
    <t>"donnez un nombre d'années"</t>
  </si>
  <si>
    <t>"définissez le taux d'intérêt"</t>
  </si>
  <si>
    <t>slider_loc_annuel</t>
  </si>
  <si>
    <t>slider_montant_immo2</t>
  </si>
  <si>
    <t>Montant de l'apport envisagé</t>
  </si>
  <si>
    <t>Revenu annuel de location courte durée</t>
  </si>
  <si>
    <t>label="prennez un nom explicite" ,placeholder = NULL,value="nom_projet"</t>
  </si>
  <si>
    <t>label="definissez la periode prevue" ,format='dd/mm/yyyy' , startview = 'month' , minviewmode='months' ,  weekstart = 0 , language = 'fr' , separator = ' au ', width = NULL</t>
  </si>
  <si>
    <t>label="date prevue" , format='dd/mm/yyyy'</t>
  </si>
  <si>
    <t xml:space="preserve"> label="pour quel montant (en eur)" , value = 0</t>
  </si>
  <si>
    <t>label="choisissez dans la liste", choices=c('1','2'), selected = NULL, multiple = FALSE,  selectize = TRUE, width = NULL, size = NULL</t>
  </si>
  <si>
    <t>label= "en milliers deur" , min=0, max=100, value=1 , step =1 , round =TRUE, ticks = TRUE, animate = FALSE, width = NULL, sep = ',', pre = NULL, post = NULL</t>
  </si>
  <si>
    <t>label="definissez un fourchette" ,  min=0, max=100, value=c(4,50), step =1, round =TRUE, ticks = TRUE, animate = FALSE, width = NULL, sep = ',' , pre = NULL, post = NULL</t>
  </si>
  <si>
    <t>label="definissez la periode prevue" , min = as.Date('2020-04-01') , max = as.Date('2040-04-01') , value = c(as.Date('2023-12-01'),as.Date('2035-12-01')) , timeFormat='%b %Y' , step = NULL, round = FALSE, pre = NULL , post = NULL , dragRange = TRUE</t>
  </si>
  <si>
    <t>label="date prévue" ,  min = as.Date('2020-04-01') , max = as.Date('2040-04-01') , value = as.Date('2025-12-01') , timeFormat='%b %Y'</t>
  </si>
  <si>
    <t>label="définissez le pourcentage" , min=0, max=100, value=20 , step =1 , round =TRUE, ticks = TRUE, animate = FALSE, width = NULL, sep = ',', pre = NULL, post = NULL</t>
  </si>
  <si>
    <t>label="donnez un nombre d'années" , min=0, max=20, value=20 , step =0.5 , round =TRUE, ticks = TRUE, animate = FALSE, width = NULL, sep = ',', pre = NULL, post = NULL</t>
  </si>
  <si>
    <t>label= "en milliers d'euro" , min=0, max=100, value=1 , step =1 , round =TRUE, ticks = TRUE, animate = FALSE, width = NULL, sep = ',', pre = NULL, post = NULL</t>
  </si>
  <si>
    <t>label= "en milliers d'euro", min=0, max=100, value=1 , step =1 , round =TRUE, ticks = TRUE, animate = FALSE, width = NULL, sep = ',', pre = NULL, post = NULL</t>
  </si>
  <si>
    <t>label= "en milliers d'euro" , min=0, max=1000, value=1 , step =1 , round =TRUE, ticks = TRUE, animate = FALSE, width = NULL, sep = ',', pre = NULL, post = NULL</t>
  </si>
  <si>
    <t>label= "en milliers d'euro" , min=0, max=3000, value=1 , step =1 , round =TRUE, ticks = TRUE, animate = FALSE, width = NULL, sep = ',', pre = NULL, post = NULL</t>
  </si>
  <si>
    <t>label="définissez le taux d'intérêt" , min=0, max=3, value=1 , step =0.1 , round =TRUE, ticks = TRUE, animate = FALSE, width = NULL, sep = ',', pre = NULL, post = NULL</t>
  </si>
  <si>
    <t>label= "en milliers d'euro" , min=0, max=20, value=0 , step =0.5 , round =TRUE, ticks = TRUE, animate = FALSE, width = NULL, sep = ',', pre = NULL, post = NULL</t>
  </si>
  <si>
    <t>label= "en milliers d'euro" , min=0, max=500, value=0 , step =1 , round =TRUE, ticks = TRUE, animate = FALSE, width = NULL, sep = ',', pre = NULL, post = NULL</t>
  </si>
  <si>
    <t>UI_args_formul</t>
  </si>
  <si>
    <t>c*365</t>
  </si>
  <si>
    <t>e*365</t>
  </si>
  <si>
    <t>Pinel</t>
  </si>
  <si>
    <t>locatif</t>
  </si>
  <si>
    <t>secondaire</t>
  </si>
  <si>
    <t>c*12*0.75</t>
  </si>
  <si>
    <t>c*1000*0.75</t>
  </si>
  <si>
    <t>(-c)</t>
  </si>
  <si>
    <t>c*(1000)</t>
  </si>
  <si>
    <t>(-b*d*0.01)/(1-(1+d)^c)</t>
  </si>
  <si>
    <t>(-(b-f)*1000*d*0.01)/(1-(1+d*0.01)^(-e))</t>
  </si>
  <si>
    <t>(-b)*1000</t>
  </si>
  <si>
    <t>(-c)*1000</t>
  </si>
  <si>
    <t>(-f)*1000</t>
  </si>
  <si>
    <t>Dépense importante (ex: voyage)</t>
  </si>
  <si>
    <t>Periode du congé</t>
  </si>
  <si>
    <t>Période prevu de l'arret</t>
  </si>
  <si>
    <t>Date prévue</t>
  </si>
  <si>
    <t>investissement avec gains annuels</t>
  </si>
  <si>
    <t>Montant de la recette annuelle</t>
  </si>
  <si>
    <t>d*1000</t>
  </si>
  <si>
    <t>0.2</t>
  </si>
  <si>
    <t>d*365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</si>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</sst>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/>
    <xf numFmtId="0" fontId="0" fillId="3" borderId="0" xfId="0" applyFill="1" applyAlignment="1">
      <alignment wrapText="1"/>
    </xf>
    <xf numFmtId="0" fontId="0" fillId="3" borderId="0" xfId="0" applyFill="1" applyAlignment="1"/>
    <xf numFmtId="0" fontId="0" fillId="0" borderId="0" xfId="0" applyAlignment="1">
      <alignment horizontal="center"/>
    </xf>
    <xf numFmtId="0" fontId="0" fillId="4" borderId="0" xfId="0" applyFill="1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5C01-2566-48A3-8E88-71219A0BC067}">
  <sheetPr codeName="Feuil1"/>
  <dimension ref="A1:F20"/>
  <sheetViews>
    <sheetView workbookViewId="0">
      <selection activeCell="F2" sqref="F2"/>
    </sheetView>
  </sheetViews>
  <sheetFormatPr baseColWidth="10" defaultRowHeight="15" x14ac:dyDescent="0.25"/>
  <cols>
    <col min="1" max="1" width="24.42578125" customWidth="1"/>
    <col min="2" max="2" width="17.28515625" customWidth="1"/>
    <col min="6" max="6" width="74.42578125" customWidth="1"/>
  </cols>
  <sheetData>
    <row r="1" spans="1:6" s="3" customFormat="1" x14ac:dyDescent="0.25">
      <c r="A1" s="3" t="s">
        <v>11</v>
      </c>
      <c r="B1" s="3" t="s">
        <v>12</v>
      </c>
      <c r="C1" s="3" t="s">
        <v>13</v>
      </c>
      <c r="D1" s="3" t="s">
        <v>44</v>
      </c>
      <c r="E1" s="3" t="s">
        <v>88</v>
      </c>
      <c r="F1" s="3" t="s">
        <v>142</v>
      </c>
    </row>
    <row r="2" spans="1:6" s="3" customFormat="1" x14ac:dyDescent="0.25">
      <c r="A2" s="3" t="s">
        <v>21</v>
      </c>
      <c r="B2" s="4" t="s">
        <v>14</v>
      </c>
      <c r="C2" s="3" t="s">
        <v>124</v>
      </c>
      <c r="D2" s="3" t="s">
        <v>87</v>
      </c>
      <c r="E2" s="3" t="s">
        <v>89</v>
      </c>
      <c r="F2" s="6" t="str">
        <f>"label="&amp;D2&amp;" ,placeholder = NULL,value="&amp;E2&amp;""</f>
        <v>label="prennez un nom explicite" ,placeholder = NULL,value="nom_projet"</v>
      </c>
    </row>
    <row r="3" spans="1:6" s="3" customFormat="1" x14ac:dyDescent="0.25">
      <c r="A3" s="3" t="s">
        <v>70</v>
      </c>
      <c r="B3" s="3" t="s">
        <v>23</v>
      </c>
      <c r="C3" s="3" t="s">
        <v>125</v>
      </c>
      <c r="D3" s="3" t="s">
        <v>81</v>
      </c>
      <c r="F3" s="6" t="str">
        <f>"label="&amp;D3&amp;" ,format='dd/mm/yyyy' , startview = 'month' , minviewmode='months' ,  weekstart = 0 , language = 'fr' , separator = ' au ', width = NULL"</f>
        <v>label="definissez la periode prevue" ,format='dd/mm/yyyy' , startview = 'month' , minviewmode='months' ,  weekstart = 0 , language = 'fr' , separator = ' au ', width = NULL</v>
      </c>
    </row>
    <row r="4" spans="1:6" x14ac:dyDescent="0.25">
      <c r="A4" s="3" t="s">
        <v>22</v>
      </c>
      <c r="B4" t="s">
        <v>24</v>
      </c>
      <c r="C4" t="s">
        <v>126</v>
      </c>
      <c r="D4" s="3" t="s">
        <v>82</v>
      </c>
      <c r="E4" s="3"/>
      <c r="F4" s="3" t="str">
        <f>"label="&amp;D4&amp;" , format='dd/mm/yyyy'"</f>
        <v>label="date prevue" , format='dd/mm/yyyy'</v>
      </c>
    </row>
    <row r="5" spans="1:6" s="3" customFormat="1" x14ac:dyDescent="0.25">
      <c r="A5" s="3" t="s">
        <v>25</v>
      </c>
      <c r="B5" s="3" t="s">
        <v>30</v>
      </c>
      <c r="C5" s="3" t="s">
        <v>127</v>
      </c>
      <c r="D5" s="3" t="s">
        <v>83</v>
      </c>
      <c r="F5" s="1" t="str">
        <f>" label="&amp;D5&amp;" , value = 0"</f>
        <v xml:space="preserve"> label="pour quel montant (en eur)" , value = 0</v>
      </c>
    </row>
    <row r="6" spans="1:6" s="3" customFormat="1" ht="30" x14ac:dyDescent="0.25">
      <c r="A6" s="3" t="s">
        <v>26</v>
      </c>
      <c r="B6" s="3" t="s">
        <v>31</v>
      </c>
      <c r="C6" s="3" t="s">
        <v>128</v>
      </c>
      <c r="D6" s="3" t="s">
        <v>84</v>
      </c>
      <c r="F6" s="1" t="str">
        <f>"label="&amp;D6&amp;", choices=c('1','2'), selected = NULL, multiple = FALSE,  selectize = TRUE, width = NULL, size = NULL"</f>
        <v>label="choisissez dans la liste", choices=c('1','2'), selected = NULL, multiple = FALSE,  selectize = TRUE, width = NULL, size = NULL</v>
      </c>
    </row>
    <row r="7" spans="1:6" s="3" customFormat="1" ht="30" x14ac:dyDescent="0.25">
      <c r="A7" s="3" t="s">
        <v>27</v>
      </c>
      <c r="B7" s="3" t="s">
        <v>15</v>
      </c>
      <c r="C7" s="3" t="s">
        <v>129</v>
      </c>
      <c r="D7" s="3" t="s">
        <v>85</v>
      </c>
      <c r="F7" s="5" t="str">
        <f>"label="&amp;D7&amp;" , min=0, max=100, value=1 , step =1 , round =TRUE, ticks = TRUE, animate = FALSE, width = NULL, sep = ',', pre = NULL, post = NULL"</f>
        <v>label= "en milliers deur" , min=0, max=100, value=1 , step =1 , round =TRUE, ticks = TRUE, animate = FALSE, width = NULL, sep = ',', pre = NULL, post = NULL</v>
      </c>
    </row>
    <row r="8" spans="1:6" s="3" customFormat="1" ht="45" x14ac:dyDescent="0.25">
      <c r="A8" s="3" t="s">
        <v>28</v>
      </c>
      <c r="B8" s="3" t="s">
        <v>15</v>
      </c>
      <c r="C8" s="3" t="s">
        <v>130</v>
      </c>
      <c r="D8" s="3" t="s">
        <v>86</v>
      </c>
      <c r="F8" s="1" t="str">
        <f>"label="&amp;D8&amp;" ,  min=0, max=100, value=c(4,50), step =1, round =TRUE, ticks = TRUE, animate = FALSE, width = NULL, sep = ',' , pre = NULL, post = NULL"</f>
        <v>label="definissez un fourchette" ,  min=0, max=100, value=c(4,50), step =1, round =TRUE, ticks = TRUE, animate = FALSE, width = NULL, sep = ',' , pre = NULL, post = NULL</v>
      </c>
    </row>
    <row r="9" spans="1:6" ht="60" x14ac:dyDescent="0.25">
      <c r="A9" s="3" t="s">
        <v>29</v>
      </c>
      <c r="B9" s="3" t="s">
        <v>15</v>
      </c>
      <c r="C9" t="s">
        <v>131</v>
      </c>
      <c r="D9" s="3" t="s">
        <v>81</v>
      </c>
      <c r="F9" s="1" t="str">
        <f>"label="&amp;D9&amp;" , min = as.Date('2020-04-01') , max = as.Date('2040-04-01') , value = c(as.Date('2023-12-01'),as.Date('2035-12-01')) , timeFormat='%b %Y' , step = NULL, round = FALSE, pre = NULL , post = NULL , dragRange = TRUE"</f>
        <v>label="definissez la periode prevue" , min = as.Date('2020-04-01') , max = as.Date('2040-04-01') , value = c(as.Date('2023-12-01'),as.Date('2035-12-01')) , timeFormat='%b %Y' , step = NULL, round = FALSE, pre = NULL , post = NULL , dragRange = TRUE</v>
      </c>
    </row>
    <row r="10" spans="1:6" ht="30" x14ac:dyDescent="0.25">
      <c r="A10" s="3" t="s">
        <v>32</v>
      </c>
      <c r="B10" s="3" t="s">
        <v>15</v>
      </c>
      <c r="C10" t="s">
        <v>132</v>
      </c>
      <c r="D10" s="3" t="s">
        <v>116</v>
      </c>
      <c r="F10" s="1" t="str">
        <f>"label="&amp;D10&amp;" ,  min = as.Date('2020-04-01') , max = as.Date('2040-04-01') , value = as.Date('2025-12-01') , timeFormat='%b %Y'"</f>
        <v>label="date prévue" ,  min = as.Date('2020-04-01') , max = as.Date('2040-04-01') , value = as.Date('2025-12-01') , timeFormat='%b %Y'</v>
      </c>
    </row>
    <row r="11" spans="1:6" ht="45" x14ac:dyDescent="0.25">
      <c r="A11" s="3" t="s">
        <v>75</v>
      </c>
      <c r="B11" s="3" t="s">
        <v>15</v>
      </c>
      <c r="C11" t="s">
        <v>133</v>
      </c>
      <c r="D11" s="3" t="s">
        <v>117</v>
      </c>
      <c r="F11" s="5" t="str">
        <f>"label="&amp;D11&amp;" , min=0, max=100, value=20 , step =1 , round =TRUE, ticks = TRUE, animate = FALSE, width = NULL, sep = ',', pre = NULL, post = NULL"</f>
        <v>label="définissez le pourcentage" , min=0, max=100, value=20 , step =1 , round =TRUE, ticks = TRUE, animate = FALSE, width = NULL, sep = ',', pre = NULL, post = NULL</v>
      </c>
    </row>
    <row r="12" spans="1:6" ht="45" x14ac:dyDescent="0.25">
      <c r="A12" s="3" t="s">
        <v>77</v>
      </c>
      <c r="B12" s="3" t="s">
        <v>15</v>
      </c>
      <c r="C12" t="s">
        <v>134</v>
      </c>
      <c r="D12" s="3" t="s">
        <v>118</v>
      </c>
      <c r="F12" s="5" t="str">
        <f>"label="&amp;D12&amp;" , min=0, max=20, value=20 , step =0.5 , round =TRUE, ticks = TRUE, animate = FALSE, width = NULL, sep = ',', pre = NULL, post = NULL"</f>
        <v>label="donnez un nombre d'années" , min=0, max=20, value=20 , step =0.5 , round =TRUE, ticks = TRUE, animate = FALSE, width = NULL, sep = ',', pre = NULL, post = NULL</v>
      </c>
    </row>
    <row r="13" spans="1:6" ht="30" x14ac:dyDescent="0.25">
      <c r="A13" s="3" t="s">
        <v>90</v>
      </c>
      <c r="B13" s="3" t="s">
        <v>31</v>
      </c>
      <c r="C13" t="s">
        <v>128</v>
      </c>
      <c r="D13" s="3" t="s">
        <v>84</v>
      </c>
      <c r="F13" s="1" t="str">
        <f>"label="&amp;D13&amp;", choices=c('1','2'), selected = NULL, multiple = FALSE,  selectize = TRUE, width = NULL, size = NULL"</f>
        <v>label="choisissez dans la liste", choices=c('1','2'), selected = NULL, multiple = FALSE,  selectize = TRUE, width = NULL, size = NULL</v>
      </c>
    </row>
    <row r="14" spans="1:6" ht="30" x14ac:dyDescent="0.25">
      <c r="A14" s="3" t="s">
        <v>92</v>
      </c>
      <c r="B14" s="3" t="s">
        <v>15</v>
      </c>
      <c r="C14" t="s">
        <v>135</v>
      </c>
      <c r="D14" s="3" t="s">
        <v>115</v>
      </c>
      <c r="F14" s="5" t="str">
        <f>"label="&amp;D14&amp;" , min=0, max=100, value=1 , step =1 , round =TRUE, ticks = TRUE, animate = FALSE, width = NULL, sep = ',', pre = NULL, post = NULL"</f>
        <v>label= "en milliers d'euro" , min=0, max=100, value=1 , step =1 , round =TRUE, ticks = TRUE, animate = FALSE, width = NULL, sep = ',', pre = NULL, post = NULL</v>
      </c>
    </row>
    <row r="15" spans="1:6" ht="30" x14ac:dyDescent="0.25">
      <c r="A15" s="3" t="s">
        <v>93</v>
      </c>
      <c r="B15" s="3" t="s">
        <v>15</v>
      </c>
      <c r="C15" t="s">
        <v>136</v>
      </c>
      <c r="D15" s="3" t="s">
        <v>115</v>
      </c>
      <c r="F15" s="5" t="str">
        <f>"label="&amp;D15&amp;", min=0, max=100, value=1 , step =1 , round =TRUE, ticks = TRUE, animate = FALSE, width = NULL, sep = ',', pre = NULL, post = NULL"</f>
        <v>label= "en milliers d'euro", min=0, max=100, value=1 , step =1 , round =TRUE, ticks = TRUE, animate = FALSE, width = NULL, sep = ',', pre = NULL, post = NULL</v>
      </c>
    </row>
    <row r="16" spans="1:6" ht="30" x14ac:dyDescent="0.25">
      <c r="A16" s="3" t="s">
        <v>111</v>
      </c>
      <c r="B16" s="3" t="s">
        <v>15</v>
      </c>
      <c r="C16" t="s">
        <v>137</v>
      </c>
      <c r="D16" s="3" t="s">
        <v>115</v>
      </c>
      <c r="F16" s="8" t="str">
        <f>"label="&amp;D16&amp;" , min=0, max=1000, value=1 , step =1 , round =TRUE, ticks = TRUE, animate = FALSE, width = NULL, sep = ',', pre = NULL, post = NULL"</f>
        <v>label= "en milliers d'euro" , min=0, max=1000, value=1 , step =1 , round =TRUE, ticks = TRUE, animate = FALSE, width = NULL, sep = ',', pre = NULL, post = NULL</v>
      </c>
    </row>
    <row r="17" spans="1:6" ht="30" x14ac:dyDescent="0.25">
      <c r="A17" s="3" t="s">
        <v>112</v>
      </c>
      <c r="B17" s="3" t="s">
        <v>15</v>
      </c>
      <c r="C17" t="s">
        <v>138</v>
      </c>
      <c r="D17" s="3" t="s">
        <v>115</v>
      </c>
      <c r="F17" s="8" t="str">
        <f>"label="&amp;D17&amp;" , min=0, max=3000, value=1 , step =1 , round =TRUE, ticks = TRUE, animate = FALSE, width = NULL, sep = ',', pre = NULL, post = NULL"</f>
        <v>label= "en milliers d'euro" , min=0, max=3000, value=1 , step =1 , round =TRUE, ticks = TRUE, animate = FALSE, width = NULL, sep = ',', pre = NULL, post = NULL</v>
      </c>
    </row>
    <row r="18" spans="1:6" ht="45" x14ac:dyDescent="0.25">
      <c r="A18" s="3" t="s">
        <v>113</v>
      </c>
      <c r="B18" s="3" t="s">
        <v>15</v>
      </c>
      <c r="C18" t="s">
        <v>139</v>
      </c>
      <c r="D18" s="3" t="s">
        <v>119</v>
      </c>
      <c r="F18" s="5" t="str">
        <f>"label="&amp;D18&amp;" , min=0, max=3, value=1 , step =0.1 , round =TRUE, ticks = TRUE, animate = FALSE, width = NULL, sep = ',', pre = NULL, post = NULL"</f>
        <v>label="définissez le taux d'intérêt" , min=0, max=3, value=1 , step =0.1 , round =TRUE, ticks = TRUE, animate = FALSE, width = NULL, sep = ',', pre = NULL, post = NULL</v>
      </c>
    </row>
    <row r="19" spans="1:6" ht="30" x14ac:dyDescent="0.25">
      <c r="A19" s="3" t="s">
        <v>120</v>
      </c>
      <c r="B19" s="3" t="s">
        <v>15</v>
      </c>
      <c r="C19" t="s">
        <v>140</v>
      </c>
      <c r="D19" s="3" t="s">
        <v>115</v>
      </c>
      <c r="F19" s="5" t="str">
        <f>"label="&amp;D19&amp;" , min=0, max=20, value=0 , step =0.5 , round =TRUE, ticks = TRUE, animate = FALSE, width = NULL, sep = ',', pre = NULL, post = NULL"</f>
        <v>label= "en milliers d'euro" , min=0, max=20, value=0 , step =0.5 , round =TRUE, ticks = TRUE, animate = FALSE, width = NULL, sep = ',', pre = NULL, post = NULL</v>
      </c>
    </row>
    <row r="20" spans="1:6" ht="30" x14ac:dyDescent="0.25">
      <c r="A20" s="3" t="s">
        <v>121</v>
      </c>
      <c r="B20" s="3" t="s">
        <v>15</v>
      </c>
      <c r="C20" t="s">
        <v>141</v>
      </c>
      <c r="D20" s="3" t="s">
        <v>115</v>
      </c>
      <c r="F20" s="8" t="str">
        <f>"label="&amp;D20&amp;" , min=0, max=500, value=0 , step =1 , round =TRUE, ticks = TRUE, animate = FALSE, width = NULL, sep = ',', pre = NULL, post = NULL"</f>
        <v>label= "en milliers d'euro" , min=0, max=500, value=0 , step =1 , round =TRUE, ticks = TRUE, animate = FALSE, width = NULL, sep = ',', pre = NULL, post = NULL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74D7-B6BD-4F30-80E2-37431ECA21A2}">
  <sheetPr codeName="Feuil2"/>
  <dimension ref="A1:AB18"/>
  <sheetViews>
    <sheetView tabSelected="1" topLeftCell="T1" zoomScale="115" zoomScaleNormal="115" workbookViewId="0">
      <selection activeCell="U4" sqref="U4"/>
    </sheetView>
  </sheetViews>
  <sheetFormatPr baseColWidth="10" defaultRowHeight="15" x14ac:dyDescent="0.25"/>
  <cols>
    <col min="1" max="1" width="37" customWidth="1"/>
    <col min="3" max="3" width="14.7109375" customWidth="1"/>
    <col min="4" max="4" width="6.28515625" customWidth="1"/>
    <col min="5" max="5" width="6.42578125" customWidth="1"/>
    <col min="6" max="7" width="6.140625" customWidth="1"/>
    <col min="8" max="8" width="11.28515625" customWidth="1"/>
    <col min="9" max="9" width="8.85546875" customWidth="1"/>
    <col min="10" max="10" width="11.140625" customWidth="1"/>
    <col min="11" max="11" width="7.42578125" customWidth="1"/>
    <col min="12" max="12" width="7.140625" customWidth="1"/>
    <col min="13" max="13" width="7.5703125" customWidth="1"/>
    <col min="14" max="17" width="7.7109375" customWidth="1"/>
    <col min="20" max="20" width="22.28515625" style="9" customWidth="1"/>
    <col min="24" max="24" width="16.85546875" customWidth="1"/>
    <col min="25" max="25" width="14.140625" customWidth="1"/>
    <col min="26" max="26" width="16.140625" customWidth="1"/>
    <col min="27" max="27" width="15.7109375" customWidth="1"/>
  </cols>
  <sheetData>
    <row r="1" spans="1:28" ht="30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45</v>
      </c>
      <c r="G1" t="s">
        <v>106</v>
      </c>
      <c r="H1" t="s">
        <v>107</v>
      </c>
      <c r="I1" t="s">
        <v>46</v>
      </c>
      <c r="J1" t="s">
        <v>69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108</v>
      </c>
      <c r="Q1" t="s">
        <v>109</v>
      </c>
      <c r="R1" t="s">
        <v>63</v>
      </c>
      <c r="S1" t="s">
        <v>64</v>
      </c>
      <c r="T1" s="9" t="s">
        <v>65</v>
      </c>
      <c r="U1" t="s">
        <v>66</v>
      </c>
      <c r="V1" t="s">
        <v>67</v>
      </c>
      <c r="W1" t="s">
        <v>68</v>
      </c>
      <c r="X1" s="2" t="s">
        <v>2</v>
      </c>
      <c r="Y1" s="2" t="s">
        <v>3</v>
      </c>
      <c r="Z1" s="2" t="s">
        <v>0</v>
      </c>
      <c r="AA1" s="2" t="s">
        <v>50</v>
      </c>
      <c r="AB1" s="2" t="s">
        <v>1</v>
      </c>
    </row>
    <row r="2" spans="1:28" x14ac:dyDescent="0.25">
      <c r="A2" t="s">
        <v>33</v>
      </c>
      <c r="B2" t="s">
        <v>21</v>
      </c>
      <c r="C2" t="s">
        <v>70</v>
      </c>
      <c r="D2" t="s">
        <v>75</v>
      </c>
      <c r="E2" t="s">
        <v>90</v>
      </c>
      <c r="I2" t="s">
        <v>47</v>
      </c>
      <c r="J2" t="s">
        <v>71</v>
      </c>
      <c r="K2" t="s">
        <v>58</v>
      </c>
      <c r="L2" t="s">
        <v>56</v>
      </c>
      <c r="M2" t="s">
        <v>57</v>
      </c>
      <c r="N2" t="s">
        <v>59</v>
      </c>
      <c r="R2" s="7" t="s">
        <v>72</v>
      </c>
      <c r="S2" s="7">
        <v>0</v>
      </c>
      <c r="T2" s="9" t="str">
        <f>CONCATENATE("-c*0.01*",J2)</f>
        <v>-c*0.01*hist_$revenu[[1]]$Net_imposable</v>
      </c>
      <c r="U2" s="7" t="s">
        <v>73</v>
      </c>
      <c r="V2" s="7">
        <v>0</v>
      </c>
      <c r="W2" s="7">
        <v>0</v>
      </c>
      <c r="X2" t="s">
        <v>7</v>
      </c>
      <c r="Y2" t="s">
        <v>5</v>
      </c>
      <c r="Z2" t="s">
        <v>7</v>
      </c>
      <c r="AA2" t="s">
        <v>7</v>
      </c>
      <c r="AB2" t="s">
        <v>6</v>
      </c>
    </row>
    <row r="3" spans="1:28" x14ac:dyDescent="0.25">
      <c r="A3" t="s">
        <v>34</v>
      </c>
      <c r="B3" t="s">
        <v>21</v>
      </c>
      <c r="C3" t="s">
        <v>70</v>
      </c>
      <c r="D3" t="s">
        <v>90</v>
      </c>
      <c r="I3" t="s">
        <v>47</v>
      </c>
      <c r="J3" t="s">
        <v>71</v>
      </c>
      <c r="K3" t="s">
        <v>58</v>
      </c>
      <c r="L3" t="s">
        <v>159</v>
      </c>
      <c r="M3" t="s">
        <v>59</v>
      </c>
      <c r="R3" s="7" t="s">
        <v>72</v>
      </c>
      <c r="S3" s="7">
        <v>0</v>
      </c>
      <c r="T3" s="9" t="str">
        <f>CONCATENATE(J3,"/2")</f>
        <v>hist_$revenu[[1]]$Net_imposable/2</v>
      </c>
      <c r="U3" s="7" t="s">
        <v>73</v>
      </c>
      <c r="V3" s="7">
        <v>0</v>
      </c>
      <c r="W3" s="7">
        <v>0</v>
      </c>
      <c r="X3" t="s">
        <v>7</v>
      </c>
      <c r="Y3" t="s">
        <v>5</v>
      </c>
      <c r="Z3" t="s">
        <v>7</v>
      </c>
      <c r="AA3" t="s">
        <v>7</v>
      </c>
      <c r="AB3" t="s">
        <v>6</v>
      </c>
    </row>
    <row r="4" spans="1:28" x14ac:dyDescent="0.25">
      <c r="A4" t="s">
        <v>35</v>
      </c>
      <c r="B4" t="s">
        <v>21</v>
      </c>
      <c r="C4" s="3" t="s">
        <v>32</v>
      </c>
      <c r="I4" t="s">
        <v>4</v>
      </c>
      <c r="K4" t="s">
        <v>58</v>
      </c>
      <c r="L4" t="s">
        <v>160</v>
      </c>
      <c r="R4" s="7" t="s">
        <v>72</v>
      </c>
      <c r="S4" s="7">
        <v>0</v>
      </c>
      <c r="T4" s="9">
        <v>0</v>
      </c>
      <c r="U4" s="7" t="s">
        <v>74</v>
      </c>
      <c r="V4" s="7">
        <v>0</v>
      </c>
      <c r="W4" s="7">
        <v>0</v>
      </c>
      <c r="X4" t="s">
        <v>5</v>
      </c>
      <c r="Y4" t="s">
        <v>7</v>
      </c>
      <c r="Z4" t="s">
        <v>166</v>
      </c>
      <c r="AA4" t="s">
        <v>7</v>
      </c>
      <c r="AB4" t="s">
        <v>8</v>
      </c>
    </row>
    <row r="5" spans="1:28" x14ac:dyDescent="0.25">
      <c r="A5" t="s">
        <v>36</v>
      </c>
      <c r="B5" t="s">
        <v>21</v>
      </c>
      <c r="C5" t="s">
        <v>70</v>
      </c>
      <c r="D5" t="s">
        <v>27</v>
      </c>
      <c r="I5" t="s">
        <v>4</v>
      </c>
      <c r="K5" t="s">
        <v>58</v>
      </c>
      <c r="L5" t="s">
        <v>60</v>
      </c>
      <c r="M5" t="s">
        <v>91</v>
      </c>
      <c r="R5" s="7" t="s">
        <v>72</v>
      </c>
      <c r="S5" s="7">
        <v>0</v>
      </c>
      <c r="T5" s="9" t="s">
        <v>155</v>
      </c>
      <c r="U5" s="7" t="s">
        <v>73</v>
      </c>
      <c r="V5" s="7">
        <v>0</v>
      </c>
      <c r="W5" s="7">
        <v>0</v>
      </c>
      <c r="X5" t="s">
        <v>5</v>
      </c>
      <c r="Y5" t="s">
        <v>7</v>
      </c>
      <c r="Z5" t="s">
        <v>7</v>
      </c>
      <c r="AA5" t="s">
        <v>7</v>
      </c>
      <c r="AB5" t="s">
        <v>6</v>
      </c>
    </row>
    <row r="6" spans="1:28" x14ac:dyDescent="0.25">
      <c r="A6" t="s">
        <v>37</v>
      </c>
      <c r="B6" t="s">
        <v>21</v>
      </c>
      <c r="C6" s="3" t="s">
        <v>32</v>
      </c>
      <c r="D6" t="s">
        <v>27</v>
      </c>
      <c r="E6" t="s">
        <v>92</v>
      </c>
      <c r="F6" t="s">
        <v>77</v>
      </c>
      <c r="I6" t="s">
        <v>48</v>
      </c>
      <c r="K6" t="s">
        <v>58</v>
      </c>
      <c r="L6" t="s">
        <v>61</v>
      </c>
      <c r="M6" t="s">
        <v>62</v>
      </c>
      <c r="N6" t="s">
        <v>76</v>
      </c>
      <c r="O6" t="s">
        <v>78</v>
      </c>
      <c r="R6" s="7" t="s">
        <v>72</v>
      </c>
      <c r="S6" t="s">
        <v>154</v>
      </c>
      <c r="T6" s="9" t="s">
        <v>151</v>
      </c>
      <c r="U6" s="7" t="s">
        <v>165</v>
      </c>
      <c r="V6" s="7">
        <v>0</v>
      </c>
      <c r="W6" s="7">
        <v>0</v>
      </c>
      <c r="X6" t="s">
        <v>5</v>
      </c>
      <c r="Y6" t="s">
        <v>7</v>
      </c>
      <c r="Z6" t="s">
        <v>7</v>
      </c>
      <c r="AA6" t="s">
        <v>164</v>
      </c>
      <c r="AB6" t="s">
        <v>6</v>
      </c>
    </row>
    <row r="7" spans="1:28" x14ac:dyDescent="0.25">
      <c r="A7" t="s">
        <v>38</v>
      </c>
      <c r="B7" t="s">
        <v>21</v>
      </c>
      <c r="C7" s="3" t="s">
        <v>32</v>
      </c>
      <c r="D7" t="s">
        <v>27</v>
      </c>
      <c r="E7" t="s">
        <v>92</v>
      </c>
      <c r="F7" t="s">
        <v>77</v>
      </c>
      <c r="I7" t="s">
        <v>48</v>
      </c>
      <c r="K7" t="s">
        <v>58</v>
      </c>
      <c r="L7" t="s">
        <v>61</v>
      </c>
      <c r="M7" t="s">
        <v>62</v>
      </c>
      <c r="N7" t="s">
        <v>76</v>
      </c>
      <c r="O7" t="s">
        <v>78</v>
      </c>
      <c r="R7" s="7" t="s">
        <v>72</v>
      </c>
      <c r="S7" t="s">
        <v>154</v>
      </c>
      <c r="T7" s="9" t="s">
        <v>151</v>
      </c>
      <c r="U7" s="7" t="s">
        <v>165</v>
      </c>
      <c r="V7" s="7">
        <v>0</v>
      </c>
      <c r="W7" s="7">
        <v>0</v>
      </c>
      <c r="X7" t="s">
        <v>5</v>
      </c>
      <c r="Y7" t="s">
        <v>7</v>
      </c>
      <c r="Z7" t="s">
        <v>7</v>
      </c>
      <c r="AA7" t="s">
        <v>164</v>
      </c>
      <c r="AB7" t="s">
        <v>7</v>
      </c>
    </row>
    <row r="8" spans="1:28" x14ac:dyDescent="0.25">
      <c r="A8" t="s">
        <v>39</v>
      </c>
      <c r="B8" t="s">
        <v>21</v>
      </c>
      <c r="C8" s="3" t="s">
        <v>32</v>
      </c>
      <c r="D8" t="s">
        <v>27</v>
      </c>
      <c r="E8" t="s">
        <v>92</v>
      </c>
      <c r="F8" t="s">
        <v>77</v>
      </c>
      <c r="I8" t="s">
        <v>48</v>
      </c>
      <c r="K8" t="s">
        <v>58</v>
      </c>
      <c r="L8" t="s">
        <v>61</v>
      </c>
      <c r="M8" t="s">
        <v>62</v>
      </c>
      <c r="N8" t="s">
        <v>76</v>
      </c>
      <c r="O8" t="s">
        <v>78</v>
      </c>
      <c r="R8" s="7" t="s">
        <v>72</v>
      </c>
      <c r="S8" t="s">
        <v>154</v>
      </c>
      <c r="T8" s="9" t="s">
        <v>151</v>
      </c>
      <c r="U8" s="7" t="s">
        <v>165</v>
      </c>
      <c r="V8" s="7">
        <v>0</v>
      </c>
      <c r="W8" s="7">
        <v>0</v>
      </c>
      <c r="X8" t="s">
        <v>5</v>
      </c>
      <c r="Y8" t="s">
        <v>7</v>
      </c>
      <c r="Z8" t="s">
        <v>7</v>
      </c>
      <c r="AA8" t="s">
        <v>7</v>
      </c>
      <c r="AB8" t="s">
        <v>7</v>
      </c>
    </row>
    <row r="9" spans="1:28" x14ac:dyDescent="0.25">
      <c r="A9" t="s">
        <v>40</v>
      </c>
      <c r="B9" t="s">
        <v>21</v>
      </c>
      <c r="C9" s="3" t="s">
        <v>32</v>
      </c>
      <c r="D9" t="s">
        <v>27</v>
      </c>
      <c r="E9" t="s">
        <v>92</v>
      </c>
      <c r="F9" t="s">
        <v>77</v>
      </c>
      <c r="I9" t="s">
        <v>48</v>
      </c>
      <c r="K9" t="s">
        <v>58</v>
      </c>
      <c r="L9" t="s">
        <v>61</v>
      </c>
      <c r="M9" t="s">
        <v>62</v>
      </c>
      <c r="N9" t="s">
        <v>76</v>
      </c>
      <c r="O9" t="s">
        <v>78</v>
      </c>
      <c r="R9" s="7" t="s">
        <v>72</v>
      </c>
      <c r="S9" t="s">
        <v>154</v>
      </c>
      <c r="T9" s="9" t="s">
        <v>151</v>
      </c>
      <c r="U9" s="7" t="s">
        <v>165</v>
      </c>
      <c r="V9" s="7">
        <v>0</v>
      </c>
      <c r="W9" s="7">
        <v>0</v>
      </c>
      <c r="X9" t="s">
        <v>5</v>
      </c>
      <c r="Y9" t="s">
        <v>7</v>
      </c>
      <c r="Z9" t="s">
        <v>7</v>
      </c>
      <c r="AA9" t="s">
        <v>164</v>
      </c>
      <c r="AB9" t="s">
        <v>7</v>
      </c>
    </row>
    <row r="10" spans="1:28" x14ac:dyDescent="0.25">
      <c r="A10" t="s">
        <v>43</v>
      </c>
      <c r="B10" t="s">
        <v>21</v>
      </c>
      <c r="C10" t="s">
        <v>70</v>
      </c>
      <c r="D10" t="s">
        <v>90</v>
      </c>
      <c r="I10" t="s">
        <v>49</v>
      </c>
      <c r="J10" t="s">
        <v>71</v>
      </c>
      <c r="K10" t="s">
        <v>58</v>
      </c>
      <c r="L10" t="s">
        <v>158</v>
      </c>
      <c r="M10" t="s">
        <v>59</v>
      </c>
      <c r="R10" s="7" t="s">
        <v>72</v>
      </c>
      <c r="S10">
        <v>0</v>
      </c>
      <c r="T10" s="9" t="str">
        <f>CONCATENATE(J10,"/2")</f>
        <v>hist_$revenu[[1]]$Net_imposable/2</v>
      </c>
      <c r="U10" s="7" t="s">
        <v>73</v>
      </c>
      <c r="V10" s="7">
        <v>0</v>
      </c>
      <c r="W10" s="7">
        <v>0</v>
      </c>
      <c r="X10" t="s">
        <v>7</v>
      </c>
      <c r="Y10" t="s">
        <v>5</v>
      </c>
      <c r="Z10" t="s">
        <v>7</v>
      </c>
      <c r="AA10" t="s">
        <v>7</v>
      </c>
      <c r="AB10" t="s">
        <v>6</v>
      </c>
    </row>
    <row r="11" spans="1:28" x14ac:dyDescent="0.25">
      <c r="A11" t="s">
        <v>41</v>
      </c>
      <c r="B11" t="s">
        <v>21</v>
      </c>
      <c r="C11" s="3" t="s">
        <v>32</v>
      </c>
      <c r="D11" t="s">
        <v>27</v>
      </c>
      <c r="E11" t="s">
        <v>25</v>
      </c>
      <c r="I11" t="s">
        <v>9</v>
      </c>
      <c r="K11" t="s">
        <v>58</v>
      </c>
      <c r="L11" t="s">
        <v>79</v>
      </c>
      <c r="M11" t="s">
        <v>80</v>
      </c>
      <c r="N11" t="s">
        <v>94</v>
      </c>
      <c r="R11" s="7" t="s">
        <v>72</v>
      </c>
      <c r="S11" t="s">
        <v>154</v>
      </c>
      <c r="T11" s="9" t="s">
        <v>150</v>
      </c>
      <c r="U11">
        <v>1</v>
      </c>
      <c r="V11" s="7">
        <v>0</v>
      </c>
      <c r="W11" s="7">
        <v>0</v>
      </c>
      <c r="X11" t="s">
        <v>5</v>
      </c>
      <c r="Y11" t="s">
        <v>7</v>
      </c>
      <c r="Z11" t="s">
        <v>7</v>
      </c>
      <c r="AA11" t="s">
        <v>7</v>
      </c>
      <c r="AB11" t="s">
        <v>10</v>
      </c>
    </row>
    <row r="12" spans="1:28" x14ac:dyDescent="0.25">
      <c r="A12" t="s">
        <v>42</v>
      </c>
      <c r="B12" t="s">
        <v>21</v>
      </c>
      <c r="C12" s="3" t="s">
        <v>32</v>
      </c>
      <c r="D12" t="s">
        <v>27</v>
      </c>
      <c r="I12" t="s">
        <v>9</v>
      </c>
      <c r="K12" t="s">
        <v>58</v>
      </c>
      <c r="L12" t="s">
        <v>79</v>
      </c>
      <c r="M12" t="s">
        <v>80</v>
      </c>
      <c r="R12" s="7" t="s">
        <v>72</v>
      </c>
      <c r="S12" t="s">
        <v>154</v>
      </c>
      <c r="T12" s="9">
        <v>0</v>
      </c>
      <c r="U12">
        <v>1</v>
      </c>
      <c r="V12" s="7">
        <v>0</v>
      </c>
      <c r="W12" s="7">
        <v>0</v>
      </c>
      <c r="X12" t="s">
        <v>5</v>
      </c>
      <c r="Y12" t="s">
        <v>7</v>
      </c>
      <c r="Z12" t="s">
        <v>7</v>
      </c>
      <c r="AA12" t="s">
        <v>7</v>
      </c>
      <c r="AB12" t="s">
        <v>6</v>
      </c>
    </row>
    <row r="13" spans="1:28" x14ac:dyDescent="0.25">
      <c r="A13" t="s">
        <v>98</v>
      </c>
      <c r="B13" t="s">
        <v>21</v>
      </c>
      <c r="C13" s="3" t="s">
        <v>32</v>
      </c>
      <c r="D13" t="s">
        <v>27</v>
      </c>
      <c r="I13" t="s">
        <v>9</v>
      </c>
      <c r="K13" t="s">
        <v>58</v>
      </c>
      <c r="L13" t="s">
        <v>79</v>
      </c>
      <c r="M13" t="s">
        <v>95</v>
      </c>
      <c r="N13" t="s">
        <v>96</v>
      </c>
      <c r="O13" t="s">
        <v>97</v>
      </c>
      <c r="R13" s="7" t="s">
        <v>72</v>
      </c>
      <c r="S13">
        <v>0</v>
      </c>
      <c r="T13" s="9" t="s">
        <v>152</v>
      </c>
      <c r="U13" s="7" t="s">
        <v>143</v>
      </c>
      <c r="V13" s="7">
        <v>0</v>
      </c>
      <c r="W13" s="7">
        <v>0</v>
      </c>
      <c r="X13" t="s">
        <v>5</v>
      </c>
      <c r="Y13" t="s">
        <v>7</v>
      </c>
      <c r="Z13" t="s">
        <v>7</v>
      </c>
      <c r="AA13" t="s">
        <v>7</v>
      </c>
      <c r="AB13" t="s">
        <v>10</v>
      </c>
    </row>
    <row r="14" spans="1:28" x14ac:dyDescent="0.25">
      <c r="A14" t="s">
        <v>161</v>
      </c>
      <c r="B14" t="s">
        <v>21</v>
      </c>
      <c r="C14" s="3" t="s">
        <v>29</v>
      </c>
      <c r="D14" t="s">
        <v>27</v>
      </c>
      <c r="I14" t="s">
        <v>9</v>
      </c>
      <c r="K14" t="s">
        <v>58</v>
      </c>
      <c r="L14" t="s">
        <v>99</v>
      </c>
      <c r="M14" t="s">
        <v>80</v>
      </c>
      <c r="N14" t="s">
        <v>162</v>
      </c>
      <c r="R14" s="7" t="s">
        <v>72</v>
      </c>
      <c r="S14" t="s">
        <v>155</v>
      </c>
      <c r="T14" s="9" t="s">
        <v>163</v>
      </c>
      <c r="U14" s="7" t="s">
        <v>73</v>
      </c>
      <c r="V14">
        <v>0</v>
      </c>
      <c r="W14" s="7">
        <v>0</v>
      </c>
      <c r="X14" t="s">
        <v>5</v>
      </c>
      <c r="Y14" t="s">
        <v>7</v>
      </c>
      <c r="Z14" t="s">
        <v>7</v>
      </c>
      <c r="AA14" t="s">
        <v>7</v>
      </c>
      <c r="AB14" t="s">
        <v>6</v>
      </c>
    </row>
    <row r="15" spans="1:28" x14ac:dyDescent="0.25">
      <c r="A15" t="s">
        <v>101</v>
      </c>
      <c r="B15" t="s">
        <v>21</v>
      </c>
      <c r="C15" s="3" t="s">
        <v>32</v>
      </c>
      <c r="D15" t="s">
        <v>111</v>
      </c>
      <c r="E15" t="s">
        <v>112</v>
      </c>
      <c r="F15" t="s">
        <v>113</v>
      </c>
      <c r="G15" t="s">
        <v>77</v>
      </c>
      <c r="H15" t="s">
        <v>121</v>
      </c>
      <c r="I15" t="s">
        <v>100</v>
      </c>
      <c r="K15" t="s">
        <v>58</v>
      </c>
      <c r="L15" t="s">
        <v>114</v>
      </c>
      <c r="M15" t="s">
        <v>105</v>
      </c>
      <c r="N15" t="s">
        <v>104</v>
      </c>
      <c r="O15" t="s">
        <v>97</v>
      </c>
      <c r="P15" t="s">
        <v>110</v>
      </c>
      <c r="Q15" t="s">
        <v>122</v>
      </c>
      <c r="R15" s="7" t="s">
        <v>72</v>
      </c>
      <c r="S15" t="s">
        <v>156</v>
      </c>
      <c r="T15" s="9" t="s">
        <v>153</v>
      </c>
      <c r="U15" s="7" t="s">
        <v>144</v>
      </c>
      <c r="V15" t="s">
        <v>148</v>
      </c>
      <c r="W15" s="7">
        <v>0</v>
      </c>
      <c r="X15" t="s">
        <v>5</v>
      </c>
      <c r="Y15" t="s">
        <v>5</v>
      </c>
      <c r="Z15" t="s">
        <v>5</v>
      </c>
      <c r="AA15" s="7" t="s">
        <v>145</v>
      </c>
      <c r="AB15" t="s">
        <v>100</v>
      </c>
    </row>
    <row r="16" spans="1:28" x14ac:dyDescent="0.25">
      <c r="A16" t="s">
        <v>102</v>
      </c>
      <c r="B16" t="s">
        <v>21</v>
      </c>
      <c r="C16" s="3" t="s">
        <v>32</v>
      </c>
      <c r="D16" t="s">
        <v>111</v>
      </c>
      <c r="E16" t="s">
        <v>112</v>
      </c>
      <c r="F16" t="s">
        <v>113</v>
      </c>
      <c r="G16" t="s">
        <v>77</v>
      </c>
      <c r="H16" t="s">
        <v>121</v>
      </c>
      <c r="I16" t="s">
        <v>100</v>
      </c>
      <c r="K16" t="s">
        <v>58</v>
      </c>
      <c r="L16" t="s">
        <v>114</v>
      </c>
      <c r="M16" t="s">
        <v>105</v>
      </c>
      <c r="N16" t="s">
        <v>104</v>
      </c>
      <c r="O16" t="s">
        <v>97</v>
      </c>
      <c r="P16" t="s">
        <v>110</v>
      </c>
      <c r="Q16" t="s">
        <v>122</v>
      </c>
      <c r="R16" s="7" t="s">
        <v>72</v>
      </c>
      <c r="S16" t="s">
        <v>156</v>
      </c>
      <c r="T16" s="9" t="s">
        <v>153</v>
      </c>
      <c r="U16" s="7" t="s">
        <v>144</v>
      </c>
      <c r="V16" t="s">
        <v>148</v>
      </c>
      <c r="W16" s="7">
        <v>0</v>
      </c>
      <c r="X16" t="s">
        <v>5</v>
      </c>
      <c r="Y16" t="s">
        <v>5</v>
      </c>
      <c r="Z16" t="s">
        <v>5</v>
      </c>
      <c r="AA16" s="7" t="s">
        <v>146</v>
      </c>
      <c r="AB16" t="s">
        <v>100</v>
      </c>
    </row>
    <row r="17" spans="1:28" x14ac:dyDescent="0.25">
      <c r="A17" t="s">
        <v>103</v>
      </c>
      <c r="B17" t="s">
        <v>21</v>
      </c>
      <c r="C17" s="3" t="s">
        <v>32</v>
      </c>
      <c r="D17" t="s">
        <v>111</v>
      </c>
      <c r="E17" t="s">
        <v>120</v>
      </c>
      <c r="F17" t="s">
        <v>113</v>
      </c>
      <c r="G17" t="s">
        <v>77</v>
      </c>
      <c r="H17" t="s">
        <v>121</v>
      </c>
      <c r="I17" t="s">
        <v>100</v>
      </c>
      <c r="K17" t="s">
        <v>58</v>
      </c>
      <c r="L17" t="s">
        <v>114</v>
      </c>
      <c r="M17" t="s">
        <v>105</v>
      </c>
      <c r="N17" t="s">
        <v>123</v>
      </c>
      <c r="O17" t="s">
        <v>97</v>
      </c>
      <c r="P17" t="s">
        <v>110</v>
      </c>
      <c r="Q17" t="s">
        <v>122</v>
      </c>
      <c r="R17" s="7" t="s">
        <v>72</v>
      </c>
      <c r="S17" t="s">
        <v>156</v>
      </c>
      <c r="T17" s="9" t="s">
        <v>153</v>
      </c>
      <c r="U17" s="7" t="s">
        <v>144</v>
      </c>
      <c r="V17" t="s">
        <v>149</v>
      </c>
      <c r="W17" s="7">
        <v>0</v>
      </c>
      <c r="X17" t="s">
        <v>5</v>
      </c>
      <c r="Y17" t="s">
        <v>5</v>
      </c>
      <c r="Z17" t="s">
        <v>5</v>
      </c>
      <c r="AA17" s="7" t="s">
        <v>147</v>
      </c>
      <c r="AB17" t="s">
        <v>100</v>
      </c>
    </row>
    <row r="18" spans="1:28" x14ac:dyDescent="0.25">
      <c r="A18" t="s">
        <v>157</v>
      </c>
      <c r="B18" t="s">
        <v>21</v>
      </c>
      <c r="C18" s="3" t="s">
        <v>32</v>
      </c>
      <c r="D18" t="s">
        <v>27</v>
      </c>
      <c r="I18" t="s">
        <v>49</v>
      </c>
      <c r="K18" t="s">
        <v>58</v>
      </c>
      <c r="L18" t="s">
        <v>114</v>
      </c>
      <c r="M18" t="s">
        <v>80</v>
      </c>
      <c r="R18" s="7" t="s">
        <v>72</v>
      </c>
      <c r="S18" t="s">
        <v>154</v>
      </c>
      <c r="T18" s="9">
        <v>0</v>
      </c>
      <c r="U18">
        <v>1</v>
      </c>
      <c r="V18" s="7">
        <v>0</v>
      </c>
      <c r="W18" s="7">
        <v>0</v>
      </c>
      <c r="X18" t="s">
        <v>5</v>
      </c>
      <c r="Y18" t="s">
        <v>7</v>
      </c>
      <c r="Z18" t="s">
        <v>7</v>
      </c>
      <c r="AA18" t="s">
        <v>7</v>
      </c>
      <c r="AB18" t="s">
        <v>6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E9FE1B4-D10E-4D24-BE6A-157F4B264B35}">
          <x14:formula1>
            <xm:f>'tab1'!$A$2:$A$10</xm:f>
          </x14:formula1>
          <xm:sqref>E10 E12:E14 F2:H3 E4:H5 F10:H14 D4:D9 D11:D14 D18 B2:C18</xm:sqref>
        </x14:dataValidation>
        <x14:dataValidation type="list" allowBlank="1" showInputMessage="1" showErrorMessage="1" xr:uid="{F7C10CE8-3276-427F-8EA9-720182A38906}">
          <x14:formula1>
            <xm:f>'tab1'!$A$2:$A$16</xm:f>
          </x14:formula1>
          <xm:sqref>D2:E3 F6:H9</xm:sqref>
        </x14:dataValidation>
        <x14:dataValidation type="list" allowBlank="1" showInputMessage="1" showErrorMessage="1" xr:uid="{BD5F7182-F394-4F94-B1FD-F041AA323C52}">
          <x14:formula1>
            <xm:f>'tab1'!$A$2:$A$15</xm:f>
          </x14:formula1>
          <xm:sqref>E6:E9 D10 E11</xm:sqref>
        </x14:dataValidation>
        <x14:dataValidation type="list" allowBlank="1" showInputMessage="1" showErrorMessage="1" xr:uid="{0C2C3A36-B3F3-4330-B572-FD83C789531C}">
          <x14:formula1>
            <xm:f>'tab1'!$A$2:$A$21</xm:f>
          </x14:formula1>
          <xm:sqref>D15:H17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tab1</vt:lpstr>
      <vt:lpstr>tab2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et Seb</dc:creator>
  <cp:lastModifiedBy>Dell</cp:lastModifiedBy>
  <dcterms:created xsi:type="dcterms:W3CDTF">2020-04-03T08:44:08Z</dcterms:created>
  <dcterms:modified xsi:type="dcterms:W3CDTF">2020-06-05T14:14:29Z</dcterms:modified>
</cp:coreProperties>
</file>