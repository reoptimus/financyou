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_Financyou\ShinyR\BetaV1\Financyou\Data_Log\Data\"/>
    </mc:Choice>
  </mc:AlternateContent>
  <xr:revisionPtr revIDLastSave="0" documentId="13_ncr:1_{E0A927D8-5AFE-4E2E-BBD7-5F5356FE56BB}" xr6:coauthVersionLast="45" xr6:coauthVersionMax="45" xr10:uidLastSave="{00000000-0000-0000-0000-000000000000}"/>
  <bookViews>
    <workbookView xWindow="10005" yWindow="255" windowWidth="10275" windowHeight="10455" activeTab="2" xr2:uid="{00000000-000D-0000-FFFF-FFFF00000000}"/>
  </bookViews>
  <sheets>
    <sheet name="tab1_plc" sheetId="2" r:id="rId1"/>
    <sheet name="tab2_plc" sheetId="3" r:id="rId2"/>
    <sheet name="tab_crd_im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2" l="1"/>
  <c r="C5" i="2" l="1"/>
  <c r="C4" i="2"/>
  <c r="C3" i="2"/>
</calcChain>
</file>

<file path=xl/sharedStrings.xml><?xml version="1.0" encoding="utf-8"?>
<sst xmlns="http://schemas.openxmlformats.org/spreadsheetml/2006/main" count="267" uniqueCount="142">
  <si>
    <t>UI_Id</t>
  </si>
  <si>
    <t>UI_type</t>
  </si>
  <si>
    <t>UI_args</t>
  </si>
  <si>
    <t>textInput</t>
  </si>
  <si>
    <t>sliderInput</t>
  </si>
  <si>
    <t>UI_Id_1</t>
  </si>
  <si>
    <t>UI_Id_2</t>
  </si>
  <si>
    <t>UI_Id_3</t>
  </si>
  <si>
    <t>UI_Id_4</t>
  </si>
  <si>
    <t>dateRangeMonthsInput</t>
  </si>
  <si>
    <t>mydateInput</t>
  </si>
  <si>
    <t>numericInput</t>
  </si>
  <si>
    <t>selectInput</t>
  </si>
  <si>
    <t>UI_title</t>
  </si>
  <si>
    <t>UI_Id_5</t>
  </si>
  <si>
    <t>label_1</t>
  </si>
  <si>
    <t>label_2</t>
  </si>
  <si>
    <t>label_3</t>
  </si>
  <si>
    <t>label_4</t>
  </si>
  <si>
    <t>label_5</t>
  </si>
  <si>
    <t>a</t>
  </si>
  <si>
    <t>d</t>
  </si>
  <si>
    <t>label=NULL , min=0, max=100, value=1 , step =1 , round =TRUE, ticks = TRUE, animate = FALSE, width = NULL, sep = ',', pre = NULL, post = NULL</t>
  </si>
  <si>
    <t>label=NULL ,  min=0, max=100, value=c(4,50), step =1, round =TRUE, ticks = TRUE, animate = FALSE, width = NULL, sep = ',' , pre = NULL, post = NULL</t>
  </si>
  <si>
    <t>label=NULL , min = as.Date('2020-04-01') , max = as.Date('2040-04-01') , value = c(as.Date('2023-12-01'),as.Date('2035-12-01')) , timeFormat='%b %Y' , step = NULL, round = FALSE, pre = NULL , post = NULL , dragRange = TRUE</t>
  </si>
  <si>
    <t xml:space="preserve">label=NULL ,  min = as.Date('2020-04-01') , max = as.Date('2040-04-01') , value = as.Date('2025-12-01') , timeFormat='%b %Y'
               </t>
  </si>
  <si>
    <t>label=NULL , min=0, max=100, value=20 , step =1 , round =TRUE, ticks = TRUE, animate = FALSE, width = NULL, sep = ',', pre = NULL, post = NULL</t>
  </si>
  <si>
    <t>label=NULL , choices=c('1','2'), selected = NULL, multiple = FALSE,  selectize = TRUE, width = NULL, size = NULL</t>
  </si>
  <si>
    <t>label=NULL , min=0, max=20, value=20 , step =0.5 , round =TRUE, ticks = TRUE, animate = FALSE, width = NULL, sep = ',', pre = NULL, post = NULL</t>
  </si>
  <si>
    <t>"definissez la periode prevue"</t>
  </si>
  <si>
    <t>"date prevue"</t>
  </si>
  <si>
    <t>"pour quel montant (en eur)"</t>
  </si>
  <si>
    <t>"choisissez dans la liste"</t>
  </si>
  <si>
    <t xml:space="preserve"> "en milliers deur"</t>
  </si>
  <si>
    <t>"definissez un fourchette"</t>
  </si>
  <si>
    <t>"definissez le pourcentage"</t>
  </si>
  <si>
    <t>"donner un nombre d annees"</t>
  </si>
  <si>
    <t>"prennez un nom explicite"</t>
  </si>
  <si>
    <t>Value</t>
  </si>
  <si>
    <t>plcs</t>
  </si>
  <si>
    <t>OPCVM Monetaire</t>
  </si>
  <si>
    <t>Immobilier locatif</t>
  </si>
  <si>
    <t>Résidence secondaire</t>
  </si>
  <si>
    <t>Actions - PEA</t>
  </si>
  <si>
    <t>ETF - PEA</t>
  </si>
  <si>
    <t>UI_Id_6</t>
  </si>
  <si>
    <t>"Précisez le secteur d'activité"</t>
  </si>
  <si>
    <t>"Précisez la zone géographique"</t>
  </si>
  <si>
    <t>Assurance Vie</t>
  </si>
  <si>
    <t>Montant</t>
  </si>
  <si>
    <t>Secteur d'activité</t>
  </si>
  <si>
    <t>Zone géographique</t>
  </si>
  <si>
    <t>label_6</t>
  </si>
  <si>
    <t>Pourcentage d'UC</t>
  </si>
  <si>
    <t>label=NULL , min=0, max=3000, value=500 , step =10 , round =TRUE, ticks = TRUE, animate = FALSE, width = NULL, sep = ',', pre = NULL, post = NULL</t>
  </si>
  <si>
    <t xml:space="preserve"> "en eur"</t>
  </si>
  <si>
    <t>Mensualité de remboursement du prêt (0 si fini de payé)</t>
  </si>
  <si>
    <t>label=NULL , min=0, max=5, value=1 , step =0.1 , round =TRUE, ticks = TRUE, animate = FALSE, width = NULL, sep = ',', pre = NULL, post = NULL</t>
  </si>
  <si>
    <t xml:space="preserve"> "en %"</t>
  </si>
  <si>
    <t>Taux du crédit en cours</t>
  </si>
  <si>
    <t>label=NULL , min=0, max=30, value=1 , step =1 , round =TRUE, ticks = TRUE, animate = FALSE, width = NULL, sep = ',', pre = NULL, post = NULL</t>
  </si>
  <si>
    <t xml:space="preserve"> "en années"</t>
  </si>
  <si>
    <t>Nombre d'années restantes</t>
  </si>
  <si>
    <t>Nombre d'années total du crédit</t>
  </si>
  <si>
    <t>type</t>
  </si>
  <si>
    <t>Compte courant</t>
  </si>
  <si>
    <t>Livret A</t>
  </si>
  <si>
    <t>PEA</t>
  </si>
  <si>
    <t>Immobilier</t>
  </si>
  <si>
    <t>Liquidité</t>
  </si>
  <si>
    <t>Valeur approximative du bien</t>
  </si>
  <si>
    <t>Valeur_t0</t>
  </si>
  <si>
    <t>Annuite</t>
  </si>
  <si>
    <t>Taux</t>
  </si>
  <si>
    <t>An_rest</t>
  </si>
  <si>
    <t>An_tot</t>
  </si>
  <si>
    <t>b*12</t>
  </si>
  <si>
    <t>e</t>
  </si>
  <si>
    <t>c/100</t>
  </si>
  <si>
    <t>Sous_type</t>
  </si>
  <si>
    <t>"0"</t>
  </si>
  <si>
    <t>as.character(b)</t>
  </si>
  <si>
    <t>label=NULL , choices=c("'Ameriques'","'Europe'","'Asie'","'autres'","'divers'","'je ne sais pas'"), selected = NULL, multiple = FALSE,  selectize = TRUE, width = NULL, size = NULL</t>
  </si>
  <si>
    <t>label=NULL , choices=c("'Energie-transport'","'Technologie'","'Bien de consommation'","'Santé'","'divers'","'je ne sais pas'"), selected = NULL, multiple = FALSE,  selectize = TRUE, width = NULL, size = NULL</t>
  </si>
  <si>
    <t>"nom_placement"</t>
  </si>
  <si>
    <t>nom_proj_plc</t>
  </si>
  <si>
    <t>date_range_plc</t>
  </si>
  <si>
    <t>date_plc</t>
  </si>
  <si>
    <t>num_input_plc</t>
  </si>
  <si>
    <t>liste_deroul_plc</t>
  </si>
  <si>
    <t>slider_plc</t>
  </si>
  <si>
    <t>slider_range_plc</t>
  </si>
  <si>
    <t>slider_range_date_plc</t>
  </si>
  <si>
    <t>slider_date_plc</t>
  </si>
  <si>
    <t>slider_pourc_plc</t>
  </si>
  <si>
    <t>slider_ans_plc</t>
  </si>
  <si>
    <t>liste_deroul_zone_geo_plc</t>
  </si>
  <si>
    <t>liste_deroul_secteur_plc</t>
  </si>
  <si>
    <t>slider_mensualite_plc</t>
  </si>
  <si>
    <t>slider_taux_plc</t>
  </si>
  <si>
    <t>slider_ans2_plc</t>
  </si>
  <si>
    <t>slider_ans3_plc</t>
  </si>
  <si>
    <t>paste(b,c,sep=";")</t>
  </si>
  <si>
    <t>UI_Id_7</t>
  </si>
  <si>
    <t>label_7</t>
  </si>
  <si>
    <t>Immobilier Pinel en cours</t>
  </si>
  <si>
    <t>slider_loyer_plc</t>
  </si>
  <si>
    <t>Revenu annuel moyen des locations saisonnières</t>
  </si>
  <si>
    <t>Montant loyer hors charges</t>
  </si>
  <si>
    <t>Revenu</t>
  </si>
  <si>
    <t>f*12</t>
  </si>
  <si>
    <t>"locatif"</t>
  </si>
  <si>
    <t>"Pinel"</t>
  </si>
  <si>
    <t>"secondaire"</t>
  </si>
  <si>
    <t>Type</t>
  </si>
  <si>
    <t>plafond</t>
  </si>
  <si>
    <t>Lissage</t>
  </si>
  <si>
    <t>Rabais</t>
  </si>
  <si>
    <t>RactionPEA</t>
  </si>
  <si>
    <t>Part_1</t>
  </si>
  <si>
    <t>Part_2</t>
  </si>
  <si>
    <t>Roblig_corpo_A_PEA</t>
  </si>
  <si>
    <t>ROPCVMMonet</t>
  </si>
  <si>
    <t>RAssVie_Eur</t>
  </si>
  <si>
    <t>Rass_Vie_UC</t>
  </si>
  <si>
    <t>as.numeric(b)/100</t>
  </si>
  <si>
    <t>1-as.numeric(b)/100</t>
  </si>
  <si>
    <t>RimmoLoc</t>
  </si>
  <si>
    <t>RimmoPinel</t>
  </si>
  <si>
    <t>RimmoSecond</t>
  </si>
  <si>
    <t>Equiv_GSE1</t>
  </si>
  <si>
    <t>Equiv_GSE2</t>
  </si>
  <si>
    <t>NULL</t>
  </si>
  <si>
    <t>Equiv__Crd</t>
  </si>
  <si>
    <t>crd_RimmoLoc</t>
  </si>
  <si>
    <t>crd_RimmoSecond</t>
  </si>
  <si>
    <t>crd_RimmoPinel</t>
  </si>
  <si>
    <t>Donnez un nom explicite</t>
  </si>
  <si>
    <t>RimmoBorloo</t>
  </si>
  <si>
    <t>RimmoMalraux</t>
  </si>
  <si>
    <t>RimmoDenormandie</t>
  </si>
  <si>
    <t>RimmoPropre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</si>
</sst>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/>
    <xf numFmtId="0" fontId="0" fillId="2" borderId="0" xfId="0" applyFill="1" applyAlignment="1">
      <alignment wrapText="1"/>
    </xf>
    <xf numFmtId="0" fontId="0" fillId="2" borderId="0" xfId="0" applyFill="1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5C01-2566-48A3-8E88-71219A0BC067}">
  <sheetPr codeName="Feuil1"/>
  <dimension ref="A1:E19"/>
  <sheetViews>
    <sheetView workbookViewId="0">
      <selection activeCell="C20" sqref="C20"/>
    </sheetView>
  </sheetViews>
  <sheetFormatPr baseColWidth="10" defaultRowHeight="15" x14ac:dyDescent="0.25"/>
  <cols>
    <col min="1" max="1" width="14.42578125" customWidth="1"/>
    <col min="2" max="2" width="17.28515625" customWidth="1"/>
    <col min="3" max="3" width="74.42578125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13</v>
      </c>
      <c r="E1" s="2" t="s">
        <v>38</v>
      </c>
    </row>
    <row r="2" spans="1:5" s="2" customFormat="1" x14ac:dyDescent="0.25">
      <c r="A2" s="2" t="s">
        <v>85</v>
      </c>
      <c r="B2" s="3" t="s">
        <v>3</v>
      </c>
      <c r="C2" s="5" t="str">
        <f>"label="&amp;D2&amp;" ,placeholder = NULL,value="&amp;E2&amp;""</f>
        <v>label="prennez un nom explicite" ,placeholder = NULL,value="nom_placement"</v>
      </c>
      <c r="D2" s="2" t="s">
        <v>37</v>
      </c>
      <c r="E2" s="2" t="s">
        <v>84</v>
      </c>
    </row>
    <row r="3" spans="1:5" s="2" customFormat="1" x14ac:dyDescent="0.25">
      <c r="A3" s="2" t="s">
        <v>86</v>
      </c>
      <c r="B3" s="2" t="s">
        <v>9</v>
      </c>
      <c r="C3" s="5" t="str">
        <f>"label="&amp;D3&amp;" ,format='dd/mm/yyyy' , startview = 'month' , minviewmode='months' ,  weekstart = 0 , language = 'fr' , separator = ' au ', width = NULL"</f>
        <v>label="definissez la periode prevue" ,format='dd/mm/yyyy' , startview = 'month' , minviewmode='months' ,  weekstart = 0 , language = 'fr' , separator = ' au ', width = NULL</v>
      </c>
      <c r="D3" s="2" t="s">
        <v>29</v>
      </c>
    </row>
    <row r="4" spans="1:5" x14ac:dyDescent="0.25">
      <c r="A4" s="2" t="s">
        <v>87</v>
      </c>
      <c r="B4" t="s">
        <v>10</v>
      </c>
      <c r="C4" s="2" t="str">
        <f>"label="&amp;D4&amp;" , format='dd/mm/yyyy'"</f>
        <v>label="date prevue" , format='dd/mm/yyyy'</v>
      </c>
      <c r="D4" s="2" t="s">
        <v>30</v>
      </c>
      <c r="E4" s="2"/>
    </row>
    <row r="5" spans="1:5" s="2" customFormat="1" x14ac:dyDescent="0.25">
      <c r="A5" s="2" t="s">
        <v>88</v>
      </c>
      <c r="B5" s="2" t="s">
        <v>11</v>
      </c>
      <c r="C5" s="1" t="str">
        <f>" label="&amp;D5&amp;" , value = 0"</f>
        <v xml:space="preserve"> label="pour quel montant (en eur)" , value = 0</v>
      </c>
      <c r="D5" s="2" t="s">
        <v>31</v>
      </c>
    </row>
    <row r="6" spans="1:5" s="2" customFormat="1" ht="30" x14ac:dyDescent="0.25">
      <c r="A6" s="2" t="s">
        <v>89</v>
      </c>
      <c r="B6" s="2" t="s">
        <v>12</v>
      </c>
      <c r="C6" s="1" t="s">
        <v>27</v>
      </c>
      <c r="D6" s="2" t="s">
        <v>32</v>
      </c>
    </row>
    <row r="7" spans="1:5" s="2" customFormat="1" ht="30" x14ac:dyDescent="0.25">
      <c r="A7" s="2" t="s">
        <v>90</v>
      </c>
      <c r="B7" s="2" t="s">
        <v>4</v>
      </c>
      <c r="C7" s="4" t="s">
        <v>22</v>
      </c>
      <c r="D7" s="2" t="s">
        <v>33</v>
      </c>
    </row>
    <row r="8" spans="1:5" s="2" customFormat="1" ht="30" x14ac:dyDescent="0.25">
      <c r="A8" s="2" t="s">
        <v>91</v>
      </c>
      <c r="B8" s="2" t="s">
        <v>4</v>
      </c>
      <c r="C8" s="1" t="s">
        <v>23</v>
      </c>
      <c r="D8" s="2" t="s">
        <v>34</v>
      </c>
    </row>
    <row r="9" spans="1:5" ht="45" x14ac:dyDescent="0.25">
      <c r="A9" s="2" t="s">
        <v>92</v>
      </c>
      <c r="B9" s="2" t="s">
        <v>4</v>
      </c>
      <c r="C9" s="1" t="s">
        <v>24</v>
      </c>
      <c r="D9" s="2" t="s">
        <v>29</v>
      </c>
    </row>
    <row r="10" spans="1:5" ht="45" x14ac:dyDescent="0.25">
      <c r="A10" s="2" t="s">
        <v>93</v>
      </c>
      <c r="B10" s="2" t="s">
        <v>4</v>
      </c>
      <c r="C10" s="1" t="s">
        <v>25</v>
      </c>
      <c r="D10" s="2" t="s">
        <v>30</v>
      </c>
    </row>
    <row r="11" spans="1:5" ht="30" x14ac:dyDescent="0.25">
      <c r="A11" s="2" t="s">
        <v>94</v>
      </c>
      <c r="B11" s="2" t="s">
        <v>4</v>
      </c>
      <c r="C11" s="4" t="s">
        <v>26</v>
      </c>
      <c r="D11" s="2" t="s">
        <v>35</v>
      </c>
    </row>
    <row r="12" spans="1:5" ht="30" x14ac:dyDescent="0.25">
      <c r="A12" s="2" t="s">
        <v>95</v>
      </c>
      <c r="B12" s="2" t="s">
        <v>4</v>
      </c>
      <c r="C12" s="4" t="s">
        <v>28</v>
      </c>
      <c r="D12" s="2" t="s">
        <v>36</v>
      </c>
    </row>
    <row r="13" spans="1:5" ht="45" x14ac:dyDescent="0.25">
      <c r="A13" s="2" t="s">
        <v>96</v>
      </c>
      <c r="B13" s="2" t="s">
        <v>12</v>
      </c>
      <c r="C13" s="1" t="s">
        <v>82</v>
      </c>
      <c r="D13" s="2" t="s">
        <v>47</v>
      </c>
    </row>
    <row r="14" spans="1:5" ht="45" x14ac:dyDescent="0.25">
      <c r="A14" s="2" t="s">
        <v>97</v>
      </c>
      <c r="B14" s="2" t="s">
        <v>12</v>
      </c>
      <c r="C14" s="1" t="s">
        <v>83</v>
      </c>
      <c r="D14" s="2" t="s">
        <v>46</v>
      </c>
    </row>
    <row r="15" spans="1:5" ht="30" x14ac:dyDescent="0.25">
      <c r="A15" s="2" t="s">
        <v>98</v>
      </c>
      <c r="B15" s="2" t="s">
        <v>4</v>
      </c>
      <c r="C15" s="4" t="s">
        <v>54</v>
      </c>
      <c r="D15" s="2" t="s">
        <v>55</v>
      </c>
      <c r="E15" s="2"/>
    </row>
    <row r="16" spans="1:5" ht="30" x14ac:dyDescent="0.25">
      <c r="A16" s="2" t="s">
        <v>99</v>
      </c>
      <c r="B16" s="2" t="s">
        <v>4</v>
      </c>
      <c r="C16" s="4" t="s">
        <v>57</v>
      </c>
      <c r="D16" s="2" t="s">
        <v>58</v>
      </c>
    </row>
    <row r="17" spans="1:4" ht="30" x14ac:dyDescent="0.25">
      <c r="A17" s="2" t="s">
        <v>100</v>
      </c>
      <c r="B17" s="2" t="s">
        <v>4</v>
      </c>
      <c r="C17" s="4" t="s">
        <v>60</v>
      </c>
      <c r="D17" s="2" t="s">
        <v>61</v>
      </c>
    </row>
    <row r="18" spans="1:4" ht="30" x14ac:dyDescent="0.25">
      <c r="A18" s="2" t="s">
        <v>101</v>
      </c>
      <c r="B18" s="2" t="s">
        <v>4</v>
      </c>
      <c r="C18" s="4" t="s">
        <v>60</v>
      </c>
      <c r="D18" s="2" t="s">
        <v>61</v>
      </c>
    </row>
    <row r="19" spans="1:4" ht="30" x14ac:dyDescent="0.25">
      <c r="A19" s="2" t="s">
        <v>106</v>
      </c>
      <c r="B19" s="2" t="s">
        <v>4</v>
      </c>
      <c r="C19" s="4" t="s">
        <v>54</v>
      </c>
      <c r="D19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74D7-B6BD-4F30-80E2-37431ECA21A2}">
  <sheetPr codeName="Feuil2"/>
  <dimension ref="A1:AB10"/>
  <sheetViews>
    <sheetView topLeftCell="I1" zoomScale="115" zoomScaleNormal="115" workbookViewId="0">
      <selection activeCell="N13" sqref="N13"/>
    </sheetView>
  </sheetViews>
  <sheetFormatPr baseColWidth="10" defaultRowHeight="15" x14ac:dyDescent="0.25"/>
  <cols>
    <col min="1" max="1" width="24" customWidth="1"/>
    <col min="2" max="3" width="11.42578125" customWidth="1"/>
    <col min="4" max="4" width="9.42578125" customWidth="1"/>
    <col min="5" max="5" width="8.42578125" customWidth="1"/>
    <col min="6" max="6" width="9.42578125" customWidth="1"/>
    <col min="7" max="8" width="8.85546875" customWidth="1"/>
    <col min="9" max="9" width="11.140625" customWidth="1"/>
    <col min="10" max="10" width="7.42578125" customWidth="1"/>
    <col min="11" max="11" width="7.140625" customWidth="1"/>
    <col min="12" max="12" width="7.5703125" customWidth="1"/>
    <col min="13" max="15" width="7.7109375" customWidth="1"/>
    <col min="16" max="17" width="11.42578125" customWidth="1"/>
    <col min="18" max="18" width="11.85546875" customWidth="1"/>
    <col min="19" max="21" width="11.42578125" customWidth="1"/>
    <col min="22" max="22" width="20.5703125" customWidth="1"/>
    <col min="28" max="28" width="17.140625" customWidth="1"/>
  </cols>
  <sheetData>
    <row r="1" spans="1:28" x14ac:dyDescent="0.25">
      <c r="A1" t="s">
        <v>39</v>
      </c>
      <c r="B1" t="s">
        <v>5</v>
      </c>
      <c r="C1" t="s">
        <v>6</v>
      </c>
      <c r="D1" t="s">
        <v>7</v>
      </c>
      <c r="E1" t="s">
        <v>8</v>
      </c>
      <c r="F1" t="s">
        <v>14</v>
      </c>
      <c r="G1" t="s">
        <v>45</v>
      </c>
      <c r="H1" t="s">
        <v>103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52</v>
      </c>
      <c r="O1" t="s">
        <v>104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109</v>
      </c>
      <c r="V1" t="s">
        <v>79</v>
      </c>
      <c r="W1" t="s">
        <v>64</v>
      </c>
      <c r="X1" t="s">
        <v>119</v>
      </c>
      <c r="Y1" t="s">
        <v>130</v>
      </c>
      <c r="Z1" t="s">
        <v>120</v>
      </c>
      <c r="AA1" t="s">
        <v>131</v>
      </c>
      <c r="AB1" t="s">
        <v>133</v>
      </c>
    </row>
    <row r="2" spans="1:28" x14ac:dyDescent="0.25">
      <c r="A2" t="s">
        <v>43</v>
      </c>
      <c r="B2" t="s">
        <v>85</v>
      </c>
      <c r="C2" t="s">
        <v>88</v>
      </c>
      <c r="D2" t="s">
        <v>96</v>
      </c>
      <c r="E2" t="s">
        <v>97</v>
      </c>
      <c r="I2" t="s">
        <v>137</v>
      </c>
      <c r="J2" t="s">
        <v>49</v>
      </c>
      <c r="K2" t="s">
        <v>51</v>
      </c>
      <c r="L2" t="s">
        <v>50</v>
      </c>
      <c r="P2" s="6" t="s">
        <v>20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 t="s">
        <v>102</v>
      </c>
      <c r="W2" t="s">
        <v>67</v>
      </c>
      <c r="X2" s="6">
        <v>1</v>
      </c>
      <c r="Y2" t="s">
        <v>118</v>
      </c>
      <c r="Z2" s="6">
        <v>0</v>
      </c>
      <c r="AA2" s="6" t="s">
        <v>132</v>
      </c>
      <c r="AB2" s="6" t="s">
        <v>132</v>
      </c>
    </row>
    <row r="3" spans="1:28" x14ac:dyDescent="0.25">
      <c r="A3" t="s">
        <v>44</v>
      </c>
      <c r="B3" t="s">
        <v>85</v>
      </c>
      <c r="C3" t="s">
        <v>88</v>
      </c>
      <c r="D3" t="s">
        <v>96</v>
      </c>
      <c r="E3" t="s">
        <v>97</v>
      </c>
      <c r="I3" t="s">
        <v>137</v>
      </c>
      <c r="J3" t="s">
        <v>49</v>
      </c>
      <c r="K3" t="s">
        <v>51</v>
      </c>
      <c r="L3" t="s">
        <v>50</v>
      </c>
      <c r="P3" s="6" t="s">
        <v>20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 t="s">
        <v>102</v>
      </c>
      <c r="W3" t="s">
        <v>67</v>
      </c>
      <c r="X3" s="6">
        <v>1</v>
      </c>
      <c r="Y3" t="s">
        <v>121</v>
      </c>
      <c r="Z3" s="6">
        <v>0</v>
      </c>
      <c r="AA3" s="6" t="s">
        <v>132</v>
      </c>
      <c r="AB3" s="6" t="s">
        <v>132</v>
      </c>
    </row>
    <row r="4" spans="1:28" x14ac:dyDescent="0.25">
      <c r="A4" t="s">
        <v>40</v>
      </c>
      <c r="B4" t="s">
        <v>85</v>
      </c>
      <c r="C4" t="s">
        <v>88</v>
      </c>
      <c r="I4" t="s">
        <v>137</v>
      </c>
      <c r="J4" t="s">
        <v>49</v>
      </c>
      <c r="P4" s="6" t="s">
        <v>20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 t="s">
        <v>80</v>
      </c>
      <c r="W4" t="s">
        <v>67</v>
      </c>
      <c r="X4" s="6">
        <v>1</v>
      </c>
      <c r="Y4" t="s">
        <v>122</v>
      </c>
      <c r="Z4" s="6">
        <v>0</v>
      </c>
      <c r="AA4" s="6" t="s">
        <v>132</v>
      </c>
      <c r="AB4" s="6" t="s">
        <v>132</v>
      </c>
    </row>
    <row r="5" spans="1:28" x14ac:dyDescent="0.25">
      <c r="A5" t="s">
        <v>48</v>
      </c>
      <c r="B5" t="s">
        <v>85</v>
      </c>
      <c r="C5" t="s">
        <v>88</v>
      </c>
      <c r="D5" t="s">
        <v>94</v>
      </c>
      <c r="I5" t="s">
        <v>137</v>
      </c>
      <c r="J5" t="s">
        <v>49</v>
      </c>
      <c r="K5" t="s">
        <v>53</v>
      </c>
      <c r="P5" s="6" t="s">
        <v>20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 t="s">
        <v>81</v>
      </c>
      <c r="W5" t="s">
        <v>48</v>
      </c>
      <c r="X5" t="s">
        <v>126</v>
      </c>
      <c r="Y5" t="s">
        <v>123</v>
      </c>
      <c r="Z5" t="s">
        <v>125</v>
      </c>
      <c r="AA5" t="s">
        <v>124</v>
      </c>
      <c r="AB5" s="6" t="s">
        <v>132</v>
      </c>
    </row>
    <row r="6" spans="1:28" x14ac:dyDescent="0.25">
      <c r="A6" t="s">
        <v>41</v>
      </c>
      <c r="B6" t="s">
        <v>85</v>
      </c>
      <c r="C6" t="s">
        <v>88</v>
      </c>
      <c r="D6" t="s">
        <v>98</v>
      </c>
      <c r="E6" t="s">
        <v>99</v>
      </c>
      <c r="F6" t="s">
        <v>100</v>
      </c>
      <c r="G6" t="s">
        <v>101</v>
      </c>
      <c r="H6" t="s">
        <v>106</v>
      </c>
      <c r="I6" t="s">
        <v>137</v>
      </c>
      <c r="J6" t="s">
        <v>70</v>
      </c>
      <c r="K6" t="s">
        <v>56</v>
      </c>
      <c r="L6" t="s">
        <v>59</v>
      </c>
      <c r="M6" t="s">
        <v>62</v>
      </c>
      <c r="N6" t="s">
        <v>63</v>
      </c>
      <c r="O6" t="s">
        <v>108</v>
      </c>
      <c r="P6" s="6" t="s">
        <v>20</v>
      </c>
      <c r="Q6" s="6" t="s">
        <v>76</v>
      </c>
      <c r="R6" s="6" t="s">
        <v>78</v>
      </c>
      <c r="S6" s="6" t="s">
        <v>21</v>
      </c>
      <c r="T6" s="6" t="s">
        <v>77</v>
      </c>
      <c r="U6" s="6" t="s">
        <v>110</v>
      </c>
      <c r="V6" s="6" t="s">
        <v>111</v>
      </c>
      <c r="W6" t="s">
        <v>68</v>
      </c>
      <c r="X6" s="6">
        <v>1</v>
      </c>
      <c r="Y6" t="s">
        <v>127</v>
      </c>
      <c r="Z6" s="6">
        <v>0</v>
      </c>
      <c r="AA6" s="6" t="s">
        <v>132</v>
      </c>
      <c r="AB6" s="7" t="s">
        <v>134</v>
      </c>
    </row>
    <row r="7" spans="1:28" x14ac:dyDescent="0.25">
      <c r="A7" t="s">
        <v>105</v>
      </c>
      <c r="B7" t="s">
        <v>85</v>
      </c>
      <c r="C7" t="s">
        <v>88</v>
      </c>
      <c r="D7" t="s">
        <v>98</v>
      </c>
      <c r="E7" t="s">
        <v>99</v>
      </c>
      <c r="F7" t="s">
        <v>100</v>
      </c>
      <c r="G7" t="s">
        <v>101</v>
      </c>
      <c r="H7" t="s">
        <v>106</v>
      </c>
      <c r="I7" t="s">
        <v>137</v>
      </c>
      <c r="J7" t="s">
        <v>70</v>
      </c>
      <c r="K7" t="s">
        <v>56</v>
      </c>
      <c r="L7" t="s">
        <v>59</v>
      </c>
      <c r="M7" t="s">
        <v>62</v>
      </c>
      <c r="N7" t="s">
        <v>63</v>
      </c>
      <c r="O7" t="s">
        <v>108</v>
      </c>
      <c r="P7" s="6" t="s">
        <v>20</v>
      </c>
      <c r="Q7" s="6" t="s">
        <v>76</v>
      </c>
      <c r="R7" s="6" t="s">
        <v>78</v>
      </c>
      <c r="S7" s="6" t="s">
        <v>21</v>
      </c>
      <c r="T7" s="6" t="s">
        <v>77</v>
      </c>
      <c r="U7" s="6" t="s">
        <v>110</v>
      </c>
      <c r="V7" s="6" t="s">
        <v>112</v>
      </c>
      <c r="W7" t="s">
        <v>68</v>
      </c>
      <c r="X7" s="6">
        <v>1</v>
      </c>
      <c r="Y7" t="s">
        <v>128</v>
      </c>
      <c r="Z7" s="6">
        <v>0</v>
      </c>
      <c r="AA7" s="6" t="s">
        <v>132</v>
      </c>
      <c r="AB7" s="7" t="s">
        <v>136</v>
      </c>
    </row>
    <row r="8" spans="1:28" x14ac:dyDescent="0.25">
      <c r="A8" t="s">
        <v>42</v>
      </c>
      <c r="B8" t="s">
        <v>85</v>
      </c>
      <c r="C8" t="s">
        <v>88</v>
      </c>
      <c r="D8" t="s">
        <v>98</v>
      </c>
      <c r="E8" t="s">
        <v>99</v>
      </c>
      <c r="F8" t="s">
        <v>100</v>
      </c>
      <c r="G8" t="s">
        <v>101</v>
      </c>
      <c r="H8" t="s">
        <v>106</v>
      </c>
      <c r="I8" t="s">
        <v>137</v>
      </c>
      <c r="J8" t="s">
        <v>70</v>
      </c>
      <c r="K8" t="s">
        <v>56</v>
      </c>
      <c r="L8" t="s">
        <v>59</v>
      </c>
      <c r="M8" t="s">
        <v>62</v>
      </c>
      <c r="N8" t="s">
        <v>63</v>
      </c>
      <c r="O8" t="s">
        <v>107</v>
      </c>
      <c r="P8" s="6" t="s">
        <v>20</v>
      </c>
      <c r="Q8" s="6" t="s">
        <v>76</v>
      </c>
      <c r="R8" s="6" t="s">
        <v>78</v>
      </c>
      <c r="S8" s="6" t="s">
        <v>21</v>
      </c>
      <c r="T8" s="6" t="s">
        <v>77</v>
      </c>
      <c r="U8" s="6" t="s">
        <v>110</v>
      </c>
      <c r="V8" s="6" t="s">
        <v>113</v>
      </c>
      <c r="W8" t="s">
        <v>68</v>
      </c>
      <c r="X8" s="6">
        <v>1</v>
      </c>
      <c r="Y8" t="s">
        <v>129</v>
      </c>
      <c r="Z8" s="6">
        <v>0</v>
      </c>
      <c r="AA8" s="6" t="s">
        <v>132</v>
      </c>
      <c r="AB8" s="7" t="s">
        <v>135</v>
      </c>
    </row>
    <row r="9" spans="1:28" x14ac:dyDescent="0.25">
      <c r="A9" t="s">
        <v>65</v>
      </c>
      <c r="B9" t="s">
        <v>85</v>
      </c>
      <c r="C9" t="s">
        <v>88</v>
      </c>
      <c r="I9" t="s">
        <v>137</v>
      </c>
      <c r="J9" t="s">
        <v>49</v>
      </c>
      <c r="P9" s="6" t="s">
        <v>20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 t="s">
        <v>80</v>
      </c>
      <c r="W9" t="s">
        <v>69</v>
      </c>
      <c r="X9" s="6">
        <v>1</v>
      </c>
      <c r="Y9" t="s">
        <v>122</v>
      </c>
      <c r="Z9" s="6">
        <v>0</v>
      </c>
      <c r="AA9" s="6" t="s">
        <v>132</v>
      </c>
      <c r="AB9" s="6" t="s">
        <v>132</v>
      </c>
    </row>
    <row r="10" spans="1:28" x14ac:dyDescent="0.25">
      <c r="A10" t="s">
        <v>66</v>
      </c>
      <c r="B10" t="s">
        <v>85</v>
      </c>
      <c r="C10" t="s">
        <v>88</v>
      </c>
      <c r="I10" t="s">
        <v>137</v>
      </c>
      <c r="J10" t="s">
        <v>49</v>
      </c>
      <c r="P10" s="6" t="s">
        <v>20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 t="s">
        <v>80</v>
      </c>
      <c r="W10" t="s">
        <v>69</v>
      </c>
      <c r="X10" s="6">
        <v>1</v>
      </c>
      <c r="Y10" t="s">
        <v>122</v>
      </c>
      <c r="Z10" s="6">
        <v>0</v>
      </c>
      <c r="AA10" s="6" t="s">
        <v>132</v>
      </c>
      <c r="AB10" s="6" t="s">
        <v>132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7C10CE8-3276-427F-8EA9-720182A38906}">
          <x14:formula1>
            <xm:f>tab1_plc!$A$2:$A$16</xm:f>
          </x14:formula1>
          <xm:sqref>D5 D2:D3 E2:E5</xm:sqref>
        </x14:dataValidation>
        <x14:dataValidation type="list" allowBlank="1" showInputMessage="1" showErrorMessage="1" xr:uid="{AE9FE1B4-D10E-4D24-BE6A-157F4B264B35}">
          <x14:formula1>
            <xm:f>tab1_plc!$A$2:$A$10</xm:f>
          </x14:formula1>
          <xm:sqref>C4:D4 F2:F5 B2:B10 C2:C3 C5:C10</xm:sqref>
        </x14:dataValidation>
        <x14:dataValidation type="list" allowBlank="1" showInputMessage="1" showErrorMessage="1" xr:uid="{DA4798CE-312F-483D-B1DE-95A3EDECE864}">
          <x14:formula1>
            <xm:f>tab1_plc!$A$2:$A$15</xm:f>
          </x14:formula1>
          <xm:sqref>D6:D8</xm:sqref>
        </x14:dataValidation>
        <x14:dataValidation type="list" allowBlank="1" showInputMessage="1" showErrorMessage="1" xr:uid="{7BBB3213-DFD5-40AF-AE4C-164EEFB8336E}">
          <x14:formula1>
            <xm:f>tab1_plc!$A$2:$A$20</xm:f>
          </x14:formula1>
          <xm:sqref>E6:H8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CC61-366A-4DE1-9DC3-53ED0F26B2A4}">
  <dimension ref="A1:D6"/>
  <sheetViews>
    <sheetView tabSelected="1" workbookViewId="0">
      <selection activeCell="A7" sqref="A7"/>
    </sheetView>
  </sheetViews>
  <sheetFormatPr baseColWidth="10" defaultRowHeight="15" x14ac:dyDescent="0.25"/>
  <sheetData>
    <row r="1" spans="1:4" x14ac:dyDescent="0.25">
      <c r="A1" t="s">
        <v>114</v>
      </c>
      <c r="B1" t="s">
        <v>117</v>
      </c>
      <c r="C1" t="s">
        <v>116</v>
      </c>
      <c r="D1" t="s">
        <v>115</v>
      </c>
    </row>
    <row r="2" spans="1:4" x14ac:dyDescent="0.25">
      <c r="A2" t="s">
        <v>128</v>
      </c>
      <c r="B2">
        <v>0.02</v>
      </c>
      <c r="C2">
        <v>9</v>
      </c>
      <c r="D2">
        <v>300000</v>
      </c>
    </row>
    <row r="3" spans="1:4" x14ac:dyDescent="0.25">
      <c r="A3" t="s">
        <v>138</v>
      </c>
      <c r="B3">
        <v>0</v>
      </c>
      <c r="C3">
        <v>0</v>
      </c>
      <c r="D3">
        <v>0</v>
      </c>
    </row>
    <row r="4" spans="1:4" x14ac:dyDescent="0.25">
      <c r="A4" t="s">
        <v>139</v>
      </c>
      <c r="B4">
        <v>0.06</v>
      </c>
      <c r="C4">
        <v>3</v>
      </c>
      <c r="D4">
        <v>100000</v>
      </c>
    </row>
    <row r="5" spans="1:4" x14ac:dyDescent="0.25">
      <c r="A5" t="s">
        <v>140</v>
      </c>
      <c r="B5">
        <v>0</v>
      </c>
      <c r="C5">
        <v>0</v>
      </c>
      <c r="D5">
        <v>0</v>
      </c>
    </row>
    <row r="6" spans="1:4" x14ac:dyDescent="0.25">
      <c r="A6" t="s">
        <v>141</v>
      </c>
      <c r="B6">
        <v>0</v>
      </c>
      <c r="C6">
        <v>0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tab1_plc</vt:lpstr>
      <vt:lpstr>tab2_plc</vt:lpstr>
      <vt:lpstr>tab_crd_imp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et Seb</dc:creator>
  <cp:lastModifiedBy>Dell</cp:lastModifiedBy>
  <dcterms:created xsi:type="dcterms:W3CDTF">2020-04-03T08:44:08Z</dcterms:created>
  <dcterms:modified xsi:type="dcterms:W3CDTF">2020-12-04T15:44:35Z</dcterms:modified>
</cp:coreProperties>
</file>